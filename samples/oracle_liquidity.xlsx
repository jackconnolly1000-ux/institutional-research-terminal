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x="http://schemas.openxmlformats.org/spreadsheetml/2006/main">
  <x:sheets>
    <x:sheet xmlns:r="http://schemas.openxmlformats.org/officeDocument/2006/relationships" name="Funding conclusion" sheetId="1" r:id="R1c8af66a62e64dda"/>
    <x:sheet xmlns:r="http://schemas.openxmlformats.org/officeDocument/2006/relationships" name="Borrowing and leases" sheetId="2" r:id="R4827a278e9a449ae"/>
    <x:sheet xmlns:r="http://schemas.openxmlformats.org/officeDocument/2006/relationships" name="Debt and liquidity" sheetId="3" r:id="R3991ce6d3dd34991"/>
    <x:sheet xmlns:r="http://schemas.openxmlformats.org/officeDocument/2006/relationships" name="History" sheetId="4" r:id="Rca582e281bdd4e23"/>
    <x:sheet xmlns:r="http://schemas.openxmlformats.org/officeDocument/2006/relationships" name="Core charts" sheetId="5" r:id="R2fde42e019dd4116"/>
    <x:sheet xmlns:r="http://schemas.openxmlformats.org/officeDocument/2006/relationships" name="Repayment review" sheetId="6" r:id="R36cea3b99dc34710"/>
    <x:sheet xmlns:r="http://schemas.openxmlformats.org/officeDocument/2006/relationships" name="Cash analysis" sheetId="7" r:id="R6c21f4568ec9423c"/>
    <x:sheet xmlns:r="http://schemas.openxmlformats.org/officeDocument/2006/relationships" name="Payment dates" sheetId="8" r:id="R8827ffce0c1e4e55"/>
    <x:sheet xmlns:r="http://schemas.openxmlformats.org/officeDocument/2006/relationships" name="Data" sheetId="9" r:id="Rc235c1c8bcea4b74"/>
    <x:sheet xmlns:r="http://schemas.openxmlformats.org/officeDocument/2006/relationships"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27fed026804b91" /><Relationship Type="http://schemas.openxmlformats.org/officeDocument/2006/relationships/theme" Target="/xl/theme/theme1.xml" Id="Rac41d495168e4cfd" /><Relationship Type="http://schemas.openxmlformats.org/officeDocument/2006/relationships/sharedStrings" Target="/xl/sharedStrings.xml" Id="R87730367b58b48a8" /><Relationship Type="http://schemas.openxmlformats.org/officeDocument/2006/relationships/worksheet" Target="/xl/worksheets/sheet1.xml" Id="R1c8af66a62e64dda" /><Relationship Type="http://schemas.openxmlformats.org/officeDocument/2006/relationships/worksheet" Target="/xl/worksheets/sheet2.xml" Id="R4827a278e9a449ae" /><Relationship Type="http://schemas.openxmlformats.org/officeDocument/2006/relationships/worksheet" Target="/xl/worksheets/sheet3.xml" Id="R3991ce6d3dd34991" /><Relationship Type="http://schemas.openxmlformats.org/officeDocument/2006/relationships/worksheet" Target="/xl/worksheets/sheet4.xml" Id="Rca582e281bdd4e23" /><Relationship Type="http://schemas.openxmlformats.org/officeDocument/2006/relationships/worksheet" Target="/xl/worksheets/sheet5.xml" Id="R2fde42e019dd4116" /><Relationship Type="http://schemas.openxmlformats.org/officeDocument/2006/relationships/worksheet" Target="/xl/worksheets/sheet6.xml" Id="R36cea3b99dc34710" /><Relationship Type="http://schemas.openxmlformats.org/officeDocument/2006/relationships/worksheet" Target="/xl/worksheets/sheet7.xml" Id="R6c21f4568ec9423c" /><Relationship Type="http://schemas.openxmlformats.org/officeDocument/2006/relationships/worksheet" Target="/xl/worksheets/sheet8.xml" Id="R8827ffce0c1e4e55" /><Relationship Type="http://schemas.openxmlformats.org/officeDocument/2006/relationships/worksheet" Target="/xl/worksheets/sheet9.xml" Id="Rc235c1c8bcea4b74" /><Relationship Type="http://schemas.openxmlformats.org/officeDocument/2006/relationships/worksheet" Target="/xl/worksheets/sheet10.xml" Id="R814da336586047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Dated obligations, possible funding and unresolved availability.</x:v>
      </x:c>
    </x:row>
    <x:row r="27" ht="44" customHeight="1">
      <x:c r="A27" s="15" t="str">
        <x:v>Cash analysis</x:v>
      </x:c>
      <x:c r="B27" s="16" t="str">
        <x:v>Quarter cash bridge, customer prepayments, equity proceeds and historical interest build.</x:v>
      </x:c>
    </x:row>
    <x:row r="28" ht="44" customHeight="1">
      <x:c r="A28" s="15" t="str">
        <x:v>Payment dates</x:v>
      </x:c>
      <x:c r="B28" s="16" t="str">
        <x:v>Contract schedules on their own dates and bases; no combined obligations total.</x:v>
      </x:c>
    </x:row>
    <x:row r="29" ht="44" customHeight="1">
      <x:c r="A29" s="15" t="str">
        <x:v>Data</x:v>
      </x:c>
      <x:c r="B29" s="16" t="str">
        <x:v>Reported inputs with filing dates, accessions, tags, contexts and source URLs; separate evidence blocks.</x:v>
      </x:c>
    </x:row>
    <x:row r="30" ht="44" customHeight="1">
      <x:c r="A30" s="17" t="str">
        <x:v>About</x:v>
      </x:c>
      <x:c r="B30" s="18" t="str">
        <x:v>Definitions, source scope, missing values, colors and methodology references.</x:v>
      </x:c>
    </x:row>
    <x:row r="32" ht="55" customHeight="1">
      <x:c r="A32" s="202" t="str">
        <x:v>Units and dates</x:v>
      </x:c>
      <x:c r="B32" s="204" t="str">
        <x:v>Amounts are stored as whole USD and displayed in millions unless marked x or %. Balance sheets are instants; FY and later TTM are overlapping twelve-month windows.</x:v>
      </x:c>
    </x:row>
    <x:row r="33" ht="55" customHeight="1">
      <x:c r="A33" s="25" t="str">
        <x:v>Colors</x:v>
      </x:c>
      <x:c r="B33" s="16" t="str">
        <x:v>Blue numeric cells are reported inputs; green formulas reference other sheets; black formulas calculate within a sheet. Green does not mean favorable or recurring cash.</x:v>
      </x:c>
    </x:row>
    <x:row r="34" ht="55" customHeight="1">
      <x:c r="A34" s="25" t="str">
        <x:v>Evidence and uncertainty</x:v>
      </x:c>
      <x:c r="B34" s="16" t="str">
        <x:v>Data contains source URLs and filing metadata. Copy a full URL into a browser to open the source. Unavailable is never zero; capacity and later events do not update balance-sheet cash or borrowing.</x:v>
      </x:c>
    </x:row>
    <x:row r="35" ht="55" customHeight="1">
      <x:c r="A35" s="26" t="str">
        <x:v>Reading the charts</x:v>
      </x:c>
      <x:c r="B35"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41" t="n">
        <x:f>IF(ISNUMBER('Data'!B129),'Data'!B129,NA())</x:f>
        <x:v>31289000000</x:v>
      </x:c>
      <x:c r="C6" s="241" t="n">
        <x:f>'Debt and liquidity'!B6</x:f>
        <x:v>36369000000</x:v>
      </x:c>
      <x:c r="D6" s="16" t="str">
        <x:v>Cash and cash equivalents excluding restricted cash. Investments are not substituted.</x:v>
      </x:c>
    </x:row>
    <x:row r="7" ht="101" customHeight="1">
      <x:c r="A7" s="25" t="str">
        <x:v>Baseline gross debt</x:v>
      </x:c>
      <x:c r="B7" s="241" t="n">
        <x:f>IF(ISNUMBER('Data'!B132),'Data'!B132,NA())+IF(ISNUMBER('Data'!B133),'Data'!B133,NA())</x:f>
        <x:v>129541000000</x:v>
      </x:c>
      <x:c r="C7" s="241" t="n">
        <x:f>'Debt and liquidity'!B7</x:f>
        <x:v>125337000000</x:v>
      </x:c>
      <x:c r="D7" s="16"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5" t="n">
        <x:f>B7-B6</x:f>
        <x:v>98252000000</x:v>
      </x:c>
      <x:c r="C8" s="241" t="n">
        <x:f>'Debt and liquidity'!B8</x:f>
        <x:v>88968000000</x:v>
      </x:c>
      <x:c r="D8" s="16" t="str">
        <x:v>Baseline borrowing less cash excluding restricted cash. Same date and filing. Negative net debt is retained.</x:v>
      </x:c>
    </x:row>
    <x:row r="9" ht="49" customHeight="1">
      <x:c r="A9" s="25" t="str">
        <x:v>Current ratio</x:v>
      </x:c>
      <x:c r="B9" s="291" t="n">
        <x:f>IF(IF(ISNUMBER('Data'!B131),'Data'!B131,NA())&gt;0,IF(ISNUMBER('Data'!B130),'Data'!B130,NA())/IF(ISNUMBER('Data'!B131),'Data'!B131,NA()),NA())</x:f>
        <x:v>1.1150033521693323</x:v>
      </x:c>
      <x:c r="C9" s="291" t="n">
        <x:f>'Debt and liquidity'!B9</x:f>
        <x:v>1.1708128130656228</x:v>
      </x:c>
      <x:c r="D9" s="16" t="str">
        <x:v>Total current assets / total current liabilities from one balance sheet. Liabilities include more than borrowing; assets include more than cash.</x:v>
      </x:c>
    </x:row>
    <x:row r="10" ht="75" customHeight="1">
      <x:c r="A10" s="25" t="str">
        <x:v>Operating cash flow</x:v>
      </x:c>
      <x:c r="B10" s="241" t="n">
        <x:f>IF(ISNUMBER('Data'!B134),'Data'!B134,NA())</x:f>
        <x:v>31977000000</x:v>
      </x:c>
      <x:c r="C10" s="241" t="n">
        <x:f>'Debt and liquidity'!B10</x:f>
        <x:v>46940000000</x:v>
      </x:c>
      <x:c r="D10" s="16"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41" t="n">
        <x:f>IF(ISNUMBER('Data'!B135),'Data'!B135,NA())</x:f>
        <x:v>55663000000</x:v>
      </x:c>
      <x:c r="C11" s="241" t="n">
        <x:f>'Debt and liquidity'!B11</x:f>
        <x:v>75660000000</x:v>
      </x:c>
      <x:c r="D11" s="16" t="str">
        <x:v>Cash capital expenditures. Capex-financing cash flows are not added.</x:v>
      </x:c>
    </x:row>
    <x:row r="12" ht="45" customHeight="1">
      <x:c r="A12" s="25" t="str">
        <x:v>Free cash flow</x:v>
      </x:c>
      <x:c r="B12" s="245" t="n">
        <x:f>B10-B11</x:f>
        <x:v>-23686000000</x:v>
      </x:c>
      <x:c r="C12" s="241"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2" t="n">
        <x:f>IF(B7&gt;0,B10/B7,NA())</x:f>
        <x:v>0.24684848812345125</x:v>
      </x:c>
      <x:c r="C13" s="304" t="n">
        <x:f>'Debt and liquidity'!B13</x:f>
        <x:v>0.37451032017680336</x:v>
      </x:c>
      <x:c r="D13" s="16" t="str">
        <x:v>Twelve-month flow / borrowing at each period end. Annual column uses FY; latest column uses TTM. Not repayment coverage.</x:v>
      </x:c>
    </x:row>
    <x:row r="14" ht="45" customHeight="1">
      <x:c r="A14" s="25" t="str">
        <x:v>Free cash flow / debt</x:v>
      </x:c>
      <x:c r="B14" s="292" t="n">
        <x:f>IF(B7&gt;0,B12/B7,NA())</x:f>
        <x:v>-0.18284558556750372</x:v>
      </x:c>
      <x:c r="C14" s="304" t="n">
        <x:f>'Debt and liquidity'!B14</x:f>
        <x:v>-0.22914223254106927</x:v>
      </x:c>
      <x:c r="D14" s="16" t="str">
        <x:v>Twelve-month flow / borrowing at each period end. Annual column uses FY; latest column uses TTM. Not repayment coverage.</x:v>
      </x:c>
    </x:row>
    <x:row r="15" ht="49" customHeight="1">
      <x:c r="A15" s="26" t="str">
        <x:v>Historical interest coverage</x:v>
      </x:c>
      <x:c r="B15" s="293" t="n">
        <x:f>IF(AND('Cash analysis'!B46&gt;0),'Cash analysis'!B45/'Cash analysis'!B46,NA())</x:f>
        <x:v>4.480539247662535</x:v>
      </x:c>
      <x:c r="C15" s="293" t="n">
        <x:f>'Debt and liquidity'!B15</x:f>
        <x:v>4.517437304075235</x:v>
      </x:c>
      <x:c r="D15" s="18" t="str">
        <x:v>Annual and later TTM use reported interest expense before interest-income offset. Full composition and capitalization basis remain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ORCL — two chart questions</x:v>
      </x:c>
      <x:c r="B2" s="4"/>
      <x:c r="C2" s="4"/>
      <x:c r="D2" s="4"/>
      <x:c r="E2" s="2"/>
      <x:c r="F2" s="2"/>
      <x:c r="G2" s="2"/>
      <x:c r="H2" s="2"/>
      <x:c r="I2" s="2"/>
      <x:c r="J2" s="2"/>
      <x:c r="K2" s="2"/>
      <x:c r="L2" s="2"/>
      <x:c r="M2" s="2"/>
      <x:c r="N2" s="2"/>
      <x:c r="O2" s="2"/>
    </x:row>
    <x:row r="3" ht="35" customHeight="1">
      <x:c r="A3" s="8" t="str">
        <x:v>TTM 2025-09-01 to 2026-08-31.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09" t="n">
        <x:f>'Debt and liquidity'!B10</x:f>
        <x:v>46940000000</x:v>
      </x:c>
      <x:c r="C6" s="4"/>
      <x:c r="D6" s="4"/>
      <x:c r="E6" s="2"/>
      <x:c r="F6" s="2"/>
      <x:c r="G6" s="2"/>
      <x:c r="H6" s="2"/>
      <x:c r="I6" s="2"/>
      <x:c r="J6" s="2"/>
      <x:c r="K6" s="2"/>
      <x:c r="L6" s="2"/>
      <x:c r="M6" s="2"/>
      <x:c r="N6" s="2"/>
      <x:c r="O6" s="2"/>
    </x:row>
    <x:row r="7" ht="35" customHeight="1">
      <x:c r="A7" s="25" t="str">
        <x:v>Capital spending</x:v>
      </x:c>
      <x:c r="B7" s="309" t="n">
        <x:f>-'Debt and liquidity'!B11</x:f>
        <x:v>-75660000000</x:v>
      </x:c>
      <x:c r="C7" s="4"/>
      <x:c r="D7" s="4"/>
      <x:c r="E7" s="2"/>
      <x:c r="F7" s="2"/>
      <x:c r="G7" s="2"/>
      <x:c r="H7" s="2"/>
      <x:c r="I7" s="2"/>
      <x:c r="J7" s="2"/>
      <x:c r="K7" s="2"/>
      <x:c r="L7" s="2"/>
      <x:c r="M7" s="2"/>
      <x:c r="N7" s="2"/>
      <x:c r="O7" s="2"/>
    </x:row>
    <x:row r="8" ht="35" customHeight="1">
      <x:c r="A8" s="26" t="str">
        <x:v>Free cash flow</x:v>
      </x:c>
      <x:c r="B8" s="310" t="n">
        <x:f>'Debt and liquidity'!B12</x:f>
        <x:v>-28720000000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19" t="str">
        <x:v>Cash and equivalents</x:v>
      </x:c>
      <x:c r="C24" s="14" t="str">
        <x:v>Baseline borrowing</x:v>
      </x:c>
      <x:c r="D24" s="4"/>
      <x:c r="E24" s="2"/>
      <x:c r="F24" s="2"/>
      <x:c r="G24" s="2"/>
      <x:c r="H24" s="2"/>
      <x:c r="I24" s="2"/>
      <x:c r="J24" s="2"/>
      <x:c r="K24" s="2"/>
      <x:c r="L24" s="2"/>
      <x:c r="M24" s="2"/>
      <x:c r="N24" s="2"/>
      <x:c r="O24" s="2"/>
    </x:row>
    <x:row r="25" ht="35" customHeight="1">
      <x:c r="A25" s="25" t="str">
        <x:v>2026-05-31</x:v>
      </x:c>
      <x:c r="B25" s="241" t="n">
        <x:f>'History'!B6</x:f>
        <x:v>31289000000</x:v>
      </x:c>
      <x:c r="C25" s="309" t="n">
        <x:f>'History'!B7</x:f>
        <x:v>129541000000</x:v>
      </x:c>
      <x:c r="D25" s="4"/>
      <x:c r="E25" s="2"/>
      <x:c r="F25" s="2"/>
      <x:c r="G25" s="2"/>
      <x:c r="H25" s="2"/>
      <x:c r="I25" s="2"/>
      <x:c r="J25" s="2"/>
      <x:c r="K25" s="2"/>
      <x:c r="L25" s="2"/>
      <x:c r="M25" s="2"/>
      <x:c r="N25" s="2"/>
      <x:c r="O25" s="2"/>
    </x:row>
    <x:row r="26" ht="35" customHeight="1">
      <x:c r="A26" s="26" t="str">
        <x:v>2026-08-31</x:v>
      </x:c>
      <x:c r="B26" s="311" t="n">
        <x:f>'History'!C6</x:f>
        <x:v>36369000000</x:v>
      </x:c>
      <x:c r="C26" s="310" t="n">
        <x:f>'History'!C7</x:f>
        <x:v>125337000000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Note and term-loan principal is dated in Payment dates, row 35 onward. Commercial paper and interest dates are Unavailable.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Commercial paper and interest at August 31</x:v>
      </x:c>
      <x:c r="B53" s="193"/>
      <x:c r="C53" s="167" t="str">
        <x:v>Unavailable</x:v>
      </x:c>
      <x:c r="D53" s="169" t="str">
        <x:v>Senior-note and term-loan principal is dated by instrument in the August 31 principal calendar. Commercial paper's August balance and maturity dates, and interest payment amounts, are Unavailable. Quarter repayments are not assigned to instruments.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f6809d7e4af04fc1"/>
</x:worksheet>
</file>

<file path=xl/worksheets/sheet8.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August 31 principal by instrument starts at row 35; commercial paper is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row r="35" ht="24" customHeight="1">
      <x:c r="A35" s="70" t="str">
        <x:v>August 31, 2026 borrowing principal by instrument</x:v>
      </x:c>
    </x:row>
    <x:row r="36" ht="54" customHeight="1">
      <x:c r="A36" s="7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182" t="str">
        <x:v>Due September 2026–August 2027</x:v>
      </x:c>
      <x:c r="B38" s="182" t="str">
        <x:v>Due date</x:v>
      </x:c>
      <x:c r="C38" s="182" t="str">
        <x:v>Principal (USD millions)</x:v>
      </x:c>
      <x:c r="D38" s="182" t="str">
        <x:v>Basis</x:v>
      </x:c>
    </x:row>
    <x:row r="39" ht="18" customHeight="1">
      <x:c r="A39" s="40" t="str">
        <x:v>Term loan, scheduled installment (2.50% of the amount borrowed)</x:v>
      </x:c>
      <x:c r="B39" s="31" t="d">
        <x:v>2026-09-30T00:00:00.000Z</x:v>
      </x:c>
      <x:c r="C39" s="57" t="n">
        <x:f>C86</x:f>
        <x:v>140750000</x:v>
      </x:c>
      <x:c r="D39" s="74" t="str">
        <x:v>Contract installment, calculated; not separately reported.</x:v>
      </x:c>
    </x:row>
    <x:row r="40" ht="18" customHeight="1">
      <x:c r="A40" s="40" t="str">
        <x:v>Term loan, scheduled installment (2.50% of the amount borrowed)</x:v>
      </x:c>
      <x:c r="B40" s="31" t="d">
        <x:v>2026-12-31T00:00:00.000Z</x:v>
      </x:c>
      <x:c r="C40" s="57" t="n">
        <x:f>C87</x:f>
        <x:v>140750000</x:v>
      </x:c>
      <x:c r="D40" s="74" t="str">
        <x:v>Contract installment, calculated; not separately reported.</x:v>
      </x:c>
    </x:row>
    <x:row r="41" ht="18" customHeight="1">
      <x:c r="A41" s="40" t="str">
        <x:v>Term loan, scheduled installment (2.50% of the amount borrowed)</x:v>
      </x:c>
      <x:c r="B41" s="31" t="d">
        <x:v>2027-03-31T00:00:00.000Z</x:v>
      </x:c>
      <x:c r="C41" s="57" t="n">
        <x:f>C88</x:f>
        <x:v>140750000</x:v>
      </x:c>
      <x:c r="D41" s="74" t="str">
        <x:v>Contract installment, calculated; not separately reported.</x:v>
      </x:c>
    </x:row>
    <x:row r="42" ht="18" customHeight="1">
      <x:c r="A42" s="40" t="str">
        <x:v>$2,250M, 2.80%, due April 2027</x:v>
      </x:c>
      <x:c r="B42" s="31" t="d">
        <x:v>2027-04-01T00:00:00.000Z</x:v>
      </x:c>
      <x:c r="C42" s="57" t="n">
        <x:f>E96</x:f>
        <x:v>2250000000</x:v>
      </x:c>
      <x:c r="D42" s="74" t="str">
        <x:v>Senior note at its stated maturity.</x:v>
      </x:c>
    </x:row>
    <x:row r="43" ht="18" customHeight="1">
      <x:c r="A43" s="40" t="str">
        <x:v>Term loan, scheduled installment (2.50% of the amount borrowed)</x:v>
      </x:c>
      <x:c r="B43" s="31" t="d">
        <x:v>2027-06-30T00:00:00.000Z</x:v>
      </x:c>
      <x:c r="C43" s="57" t="n">
        <x:f>C89</x:f>
        <x:v>140750000</x:v>
      </x:c>
      <x:c r="D43" s="74" t="str">
        <x:v>Contract installment, calculated; not separately reported.</x:v>
      </x:c>
    </x:row>
    <x:row r="44" ht="18" customHeight="1">
      <x:c r="A44" s="40" t="str">
        <x:v>Term loan, remaining principal</x:v>
      </x:c>
      <x:c r="B44" s="31" t="d">
        <x:v>2027-08-16T00:00:00.000Z</x:v>
      </x:c>
      <x:c r="C44" s="57" t="n">
        <x:f>C90</x:f>
        <x:v>4504000000</x:v>
      </x:c>
      <x:c r="D44" s="74" t="str">
        <x:v>Calculated remainder. Oracle may extend the date by up to 2 years.</x:v>
      </x:c>
    </x:row>
    <x:row r="45" ht="18" customHeight="1">
      <x:c r="A45" s="40" t="str">
        <x:v>Commercial paper</x:v>
      </x:c>
      <x:c r="D45" s="74" t="str">
        <x:v>Unavailable: August 31 balance and maturity dates are not reported.</x:v>
      </x:c>
    </x:row>
    <x:row r="46" ht="18" customHeight="1">
      <x:c r="A46" s="77" t="str">
        <x:v>Next twelve months, excluding commercial paper</x:v>
      </x:c>
      <x:c r="C46" s="77" t="n">
        <x:f>SUM(C39:C44)</x:f>
        <x:v>7317000000</x:v>
      </x:c>
    </x:row>
    <x:row r="48" ht="30" customHeight="1">
      <x:c r="A48" s="182" t="str">
        <x:v>Fiscal year</x:v>
      </x:c>
      <x:c r="B48" s="182" t="str">
        <x:v>From</x:v>
      </x:c>
      <x:c r="C48" s="182" t="str">
        <x:v>Principal (USD millions)</x:v>
      </x:c>
      <x:c r="D48" s="182" t="str">
        <x:v>Through</x:v>
      </x:c>
    </x:row>
    <x:row r="49" ht="18" customHeight="1">
      <x:c r="A49" s="40" t="str">
        <x:v>Remainder FY2027</x:v>
      </x:c>
      <x:c r="B49" s="31" t="d">
        <x:v>2026-09-01T00:00:00.000Z</x:v>
      </x:c>
      <x:c r="C49" s="57" t="n">
        <x:f>SUMIFS($E$95:$E$152,$B$95:$B$152,"&gt;="&amp;B49,$B$95:$B$152,"&lt;="&amp;D49,$F$95:$F$152,"&lt;&gt;Term loan")+SUMIFS($C$78:$C$90,$B$78:$B$90,"&gt;="&amp;B49,$B$78:$B$90,"&lt;="&amp;D49)</x:f>
        <x:v>2672250000</x:v>
      </x:c>
      <x:c r="D49" s="31" t="d">
        <x:v>2027-05-31T00:00:00.000Z</x:v>
      </x:c>
    </x:row>
    <x:row r="50" ht="18" customHeight="1">
      <x:c r="A50" s="40" t="str">
        <x:v>FY2028</x:v>
      </x:c>
      <x:c r="B50" s="31" t="d">
        <x:v>2027-06-01T00:00:00.000Z</x:v>
      </x:c>
      <x:c r="C50" s="57" t="n">
        <x:f>SUMIFS($E$95:$E$152,$B$95:$B$152,"&gt;="&amp;B50,$B$95:$B$152,"&lt;="&amp;D50,$F$95:$F$152,"&lt;&gt;Term loan")+SUMIFS($C$78:$C$90,$B$78:$B$90,"&gt;="&amp;B50,$B$78:$B$90,"&lt;="&amp;D50)</x:f>
        <x:v>10144750000</x:v>
      </x:c>
      <x:c r="D50" s="31" t="d">
        <x:v>2028-05-31T00:00:00.000Z</x:v>
      </x:c>
    </x:row>
    <x:row r="51" ht="18" customHeight="1">
      <x:c r="A51" s="40" t="str">
        <x:v>FY2029</x:v>
      </x:c>
      <x:c r="B51" s="31" t="d">
        <x:v>2028-06-01T00:00:00.000Z</x:v>
      </x:c>
      <x:c r="C51" s="57" t="n">
        <x:f>SUMIFS($E$95:$E$152,$B$95:$B$152,"&gt;="&amp;B51,$B$95:$B$152,"&lt;="&amp;D51,$F$95:$F$152,"&lt;&gt;Term loan")+SUMIFS($C$78:$C$90,$B$78:$B$90,"&gt;="&amp;B51,$B$78:$B$90,"&lt;="&amp;D51)</x:f>
        <x:v>5500000000</x:v>
      </x:c>
      <x:c r="D51" s="31" t="d">
        <x:v>2029-05-31T00:00:00.000Z</x:v>
      </x:c>
    </x:row>
    <x:row r="52" ht="18" customHeight="1">
      <x:c r="A52" s="40" t="str">
        <x:v>FY2030</x:v>
      </x:c>
      <x:c r="B52" s="31" t="d">
        <x:v>2029-06-01T00:00:00.000Z</x:v>
      </x:c>
      <x:c r="C52" s="57" t="n">
        <x:f>SUMIFS($E$95:$E$152,$B$95:$B$152,"&gt;="&amp;B52,$B$95:$B$152,"&lt;="&amp;D52,$F$95:$F$152,"&lt;&gt;Term loan")+SUMIFS($C$78:$C$90,$B$78:$B$90,"&gt;="&amp;B52,$B$78:$B$90,"&lt;="&amp;D52)</x:f>
        <x:v>7250000000</x:v>
      </x:c>
      <x:c r="D52" s="31" t="d">
        <x:v>2030-05-31T00:00:00.000Z</x:v>
      </x:c>
    </x:row>
    <x:row r="53" ht="18" customHeight="1">
      <x:c r="A53" s="40" t="str">
        <x:v>FY2031</x:v>
      </x:c>
      <x:c r="B53" s="31" t="d">
        <x:v>2030-06-01T00:00:00.000Z</x:v>
      </x:c>
      <x:c r="C53" s="57" t="n">
        <x:f>SUMIFS($E$95:$E$152,$B$95:$B$152,"&gt;="&amp;B53,$B$95:$B$152,"&lt;="&amp;D53,$F$95:$F$152,"&lt;&gt;Term loan")+SUMIFS($C$78:$C$90,$B$78:$B$90,"&gt;="&amp;B53,$B$78:$B$90,"&lt;="&amp;D53)</x:f>
        <x:v>9750000000</x:v>
      </x:c>
      <x:c r="D53" s="31" t="d">
        <x:v>2031-05-31T00:00:00.000Z</x:v>
      </x:c>
    </x:row>
    <x:row r="54" ht="18" customHeight="1">
      <x:c r="A54" s="40" t="str">
        <x:v>Thereafter</x:v>
      </x:c>
      <x:c r="B54" s="31" t="d">
        <x:v>2031-06-01T00:00:00.000Z</x:v>
      </x:c>
      <x:c r="C54" s="57" t="n">
        <x:f>SUMIFS($E$95:$E$152,$B$95:$B$152,"&gt;="&amp;B54,$F$95:$F$152,"&lt;&gt;Term loan")+SUMIFS($C$78:$C$90,$B$78:$B$90,"&gt;="&amp;B54)</x:f>
        <x:v>90250000000</x:v>
      </x:c>
      <x:c r="D54" s="40" t="str">
        <x:v>Final maturity</x:v>
      </x:c>
    </x:row>
    <x:row r="55" ht="18" customHeight="1">
      <x:c r="A55" s="77" t="str">
        <x:v>Total, excluding commercial paper</x:v>
      </x:c>
      <x:c r="C55" s="77" t="n">
        <x:f>SUM(C49:C54)</x:f>
        <x:v>125567000000</x:v>
      </x:c>
    </x:row>
    <x:row r="57" ht="30" customHeight="1">
      <x:c r="A57" s="182" t="str">
        <x:v>Principal versus carrying value</x:v>
      </x:c>
      <x:c r="C57" s="182" t="str">
        <x:v>USD millions</x:v>
      </x:c>
      <x:c r="D57" s="182" t="str">
        <x:v>Basis</x:v>
      </x:c>
    </x:row>
    <x:row r="58" ht="30" customHeight="1">
      <x:c r="A58" s="40" t="str">
        <x:v>Senior-note and term-loan principal at August 31</x:v>
      </x:c>
      <x:c r="C58" s="57" t="n">
        <x:f>C55</x:f>
        <x:v>125567000000</x:v>
      </x:c>
      <x:c r="D58" s="74" t="str">
        <x:v>Sum of the calendar above.</x:v>
      </x:c>
    </x:row>
    <x:row r="59" ht="30" customHeight="1">
      <x:c r="A59" s="40" t="str">
        <x:v>Long-term borrowing at carrying value, as tagged</x:v>
      </x:c>
      <x:c r="C59" s="29" t="n">
        <x:v>125000000000</x:v>
      </x:c>
      <x:c r="D59" s="74" t="str">
        <x:v>10-Q Note 2, p. 9: $125.0B, decimals -8 (nearest $100M). us-gaap:DebtInstrumentCarryingAmount, senior notes and other long-term borrowings.</x:v>
      </x:c>
    </x:row>
    <x:row r="60" ht="30" customHeight="1">
      <x:c r="A60" s="40" t="str">
        <x:v>Implied unamortized discount and issuance costs, low</x:v>
      </x:c>
      <x:c r="C60" s="57" t="n">
        <x:f>C58-(C59+50000000)</x:f>
        <x:v>517000000</x:v>
      </x:c>
      <x:c r="D60" s="74" t="str">
        <x:v>Not reported at August 31. Rounding of the tagged figure gives a range.</x:v>
      </x:c>
    </x:row>
    <x:row r="61" ht="18" customHeight="1">
      <x:c r="A61" s="40" t="str">
        <x:v>Implied unamortized discount and issuance costs, high</x:v>
      </x:c>
      <x:c r="C61" s="57" t="n">
        <x:f>C58-(C59-50000000)</x:f>
        <x:v>617000000</x:v>
      </x:c>
    </x:row>
    <x:row r="62" ht="30" customHeight="1">
      <x:c r="A62" s="40" t="str">
        <x:v>Unamortized discount and issuance costs at May 31</x:v>
      </x:c>
      <x:c r="C62" s="29" t="n">
        <x:v>564000000</x:v>
      </x:c>
      <x:c r="D62" s="74" t="str">
        <x:v>10-K Note 6, p. 84. It falls as costs amortize; no new issuance in the quarter.</x:v>
      </x:c>
    </x:row>
    <x:row r="63" ht="30" customHeight="1">
      <x:c r="A63" s="40" t="str">
        <x:v>Current borrowing at carrying value</x:v>
      </x:c>
      <x:c r="C63" s="29" t="n">
        <x:v>7625000000</x:v>
      </x:c>
      <x:c r="D63" s="74" t="str">
        <x:v>10-Q balance sheet, p. 1.</x:v>
      </x:c>
    </x:row>
    <x:row r="64" ht="30" customHeight="1">
      <x:c r="A64" s="40" t="str">
        <x:v>Noncurrent borrowing at carrying value</x:v>
      </x:c>
      <x:c r="C64" s="29" t="n">
        <x:v>117712000000</x:v>
      </x:c>
      <x:c r="D64" s="74" t="str">
        <x:v>10-Q balance sheet, p. 1.</x:v>
      </x:c>
    </x:row>
    <x:row r="65" ht="18" customHeight="1">
      <x:c r="A65" s="40" t="str">
        <x:v>Total borrowing at carrying value</x:v>
      </x:c>
      <x:c r="C65" s="57" t="n">
        <x:f>C63+C64</x:f>
        <x:v>125337000000</x:v>
      </x:c>
    </x:row>
    <x:row r="66" ht="30" customHeight="1">
      <x:c r="A66" s="40" t="str">
        <x:v>Commercial paper implied, low</x:v>
      </x:c>
      <x:c r="C66" s="57" t="n">
        <x:f>C65-(C59+50000000)</x:f>
        <x:v>287000000</x:v>
      </x:c>
      <x:c r="D66" s="74" t="str">
        <x:v>Total carrying less the rounded long-term figure. A range, so the balance stays Unavailable.</x:v>
      </x:c>
    </x:row>
    <x:row r="67" ht="18" customHeight="1">
      <x:c r="A67" s="40" t="str">
        <x:v>Commercial paper implied, high</x:v>
      </x:c>
      <x:c r="C67" s="57" t="n">
        <x:f>C65-(C59-50000000)</x:f>
        <x:v>387000000</x:v>
      </x:c>
    </x:row>
    <x:row r="68" ht="30" customHeight="1">
      <x:c r="A68" s="40" t="str">
        <x:v>Grouped June–August repayments</x:v>
      </x:c>
      <x:c r="C68" s="29" t="n">
        <x:v>4202000000</x:v>
      </x:c>
      <x:c r="D68" s="74" t="str">
        <x:v>10-Q cash flows, p. 5: senior notes, term loan and other borrowings. Not assigned to instruments.</x:v>
      </x:c>
    </x:row>
    <x:row r="69" ht="30" customHeight="1">
      <x:c r="A69" s="40" t="str">
        <x:v>Scheduled principal due June–August</x:v>
      </x:c>
      <x:c r="C69" s="57" t="n">
        <x:f>C95+C85</x:f>
        <x:v>3070375000</x:v>
      </x:c>
      <x:c r="D69" s="74" t="str">
        <x:v>July 15, 2026 notes plus the June 30 term-loan installment. MD&amp;A: about $3.1B of scheduled repayments.</x:v>
      </x:c>
    </x:row>
    <x:row r="70" ht="30" customHeight="1">
      <x:c r="A70" s="40" t="str">
        <x:v>Grouped repayments less scheduled principal</x:v>
      </x:c>
      <x:c r="C70" s="57" t="n">
        <x:f>C68-C69</x:f>
        <x:v>1131625000</x:v>
      </x:c>
      <x:c r="D70" s="74" t="str">
        <x:v>MD&amp;A describes about $1.1B of commercial-paper repayment; the commercial-paper row is zero. Not subtracted.</x:v>
      </x:c>
    </x:row>
    <x:row r="71" ht="30" customHeight="1">
      <x:c r="A71" s="40" t="str">
        <x:v>Instrument principal at May 31</x:v>
      </x:c>
      <x:c r="C71" s="57" t="n">
        <x:f>SUM(C95:C152)</x:f>
        <x:v>130105000000</x:v>
      </x:c>
      <x:c r="D71" s="74" t="str">
        <x:v>Sum of the instrument table.</x:v>
      </x:c>
    </x:row>
    <x:row r="72" ht="30" customHeight="1">
      <x:c r="A72" s="40" t="str">
        <x:v>Reported principal total at May 31</x:v>
      </x:c>
      <x:c r="C72" s="29" t="n">
        <x:v>130105000000</x:v>
      </x:c>
      <x:c r="D72" s="74" t="str">
        <x:v>10-K Note 6, p. 84; us-gaap:DebtInstrumentCarryingAmount, undimensioned.</x:v>
      </x:c>
    </x:row>
    <x:row r="73" ht="18" customHeight="1">
      <x:c r="A73" s="77" t="str">
        <x:v>Difference</x:v>
      </x:c>
      <x:c r="C73" s="77" t="n">
        <x:f>C71-C72</x:f>
        <x:v>0</x:v>
      </x:c>
    </x:row>
    <x:row r="76" ht="18" customHeight="1">
      <x:c r="A76" s="182" t="str">
        <x:v>Term loan: amortization from the stated terms (10-K Note 6, pp. 85–86)</x:v>
      </x:c>
      <x:c r="B76" s="182" t="str">
        <x:v>Date</x:v>
      </x:c>
      <x:c r="C76" s="182" t="str">
        <x:v>USD millions</x:v>
      </x:c>
      <x:c r="D76" s="182" t="str">
        <x:v>Basis</x:v>
      </x:c>
    </x:row>
    <x:row r="77" ht="18" customHeight="1">
      <x:c r="A77" s="40" t="str">
        <x:v>Amount borrowed</x:v>
      </x:c>
      <x:c r="C77" s="29" t="n">
        <x:v>5630000000</x:v>
      </x:c>
      <x:c r="D77" s="74" t="str">
        <x:v>us-gaap:DebtInstrumentFaceAmount, term loan member, May 31, 2026. Assumes no prepayment.</x:v>
      </x:c>
    </x:row>
    <x:row r="78" ht="18" customHeight="1">
      <x:c r="A78" s="40" t="str">
        <x:v>Installment, paid</x:v>
      </x:c>
      <x:c r="B78" s="31" t="d">
        <x:v>2024-09-30T00:00:00.000Z</x:v>
      </x:c>
      <x:c r="C78" s="57" t="n">
        <x:f>ROUND($C$77*0.0125,0)</x:f>
        <x:v>70375000</x:v>
      </x:c>
      <x:c r="D78" s="74" t="str">
        <x:v>1.25% of the amount borrowed</x:v>
      </x:c>
    </x:row>
    <x:row r="79" ht="18" customHeight="1">
      <x:c r="A79" s="40" t="str">
        <x:v>Installment, paid</x:v>
      </x:c>
      <x:c r="B79" s="31" t="d">
        <x:v>2024-12-31T00:00:00.000Z</x:v>
      </x:c>
      <x:c r="C79" s="57" t="n">
        <x:f>ROUND($C$77*0.0125,0)</x:f>
        <x:v>70375000</x:v>
      </x:c>
      <x:c r="D79" s="74" t="str">
        <x:v>1.25% of the amount borrowed</x:v>
      </x:c>
    </x:row>
    <x:row r="80" ht="18" customHeight="1">
      <x:c r="A80" s="40" t="str">
        <x:v>Installment, paid</x:v>
      </x:c>
      <x:c r="B80" s="31" t="d">
        <x:v>2025-03-31T00:00:00.000Z</x:v>
      </x:c>
      <x:c r="C80" s="57" t="n">
        <x:f>ROUND($C$77*0.0125,0)</x:f>
        <x:v>70375000</x:v>
      </x:c>
      <x:c r="D80" s="74" t="str">
        <x:v>1.25% of the amount borrowed</x:v>
      </x:c>
    </x:row>
    <x:row r="81" ht="18" customHeight="1">
      <x:c r="A81" s="40" t="str">
        <x:v>Installment, paid</x:v>
      </x:c>
      <x:c r="B81" s="31" t="d">
        <x:v>2025-06-30T00:00:00.000Z</x:v>
      </x:c>
      <x:c r="C81" s="57" t="n">
        <x:f>ROUND($C$77*0.0125,0)</x:f>
        <x:v>70375000</x:v>
      </x:c>
      <x:c r="D81" s="74" t="str">
        <x:v>1.25% of the amount borrowed</x:v>
      </x:c>
    </x:row>
    <x:row r="82" ht="18" customHeight="1">
      <x:c r="A82" s="40" t="str">
        <x:v>Installment, paid</x:v>
      </x:c>
      <x:c r="B82" s="31" t="d">
        <x:v>2025-09-30T00:00:00.000Z</x:v>
      </x:c>
      <x:c r="C82" s="57" t="n">
        <x:f>ROUND($C$77*0.0125,0)</x:f>
        <x:v>70375000</x:v>
      </x:c>
      <x:c r="D82" s="74" t="str">
        <x:v>1.25% of the amount borrowed</x:v>
      </x:c>
    </x:row>
    <x:row r="83" ht="18" customHeight="1">
      <x:c r="A83" s="40" t="str">
        <x:v>Installment, paid</x:v>
      </x:c>
      <x:c r="B83" s="31" t="d">
        <x:v>2025-12-31T00:00:00.000Z</x:v>
      </x:c>
      <x:c r="C83" s="57" t="n">
        <x:f>ROUND($C$77*0.0125,0)</x:f>
        <x:v>70375000</x:v>
      </x:c>
      <x:c r="D83" s="74" t="str">
        <x:v>1.25% of the amount borrowed</x:v>
      </x:c>
    </x:row>
    <x:row r="84" ht="18" customHeight="1">
      <x:c r="A84" s="40" t="str">
        <x:v>Installment, paid</x:v>
      </x:c>
      <x:c r="B84" s="31" t="d">
        <x:v>2026-03-31T00:00:00.000Z</x:v>
      </x:c>
      <x:c r="C84" s="57" t="n">
        <x:f>ROUND($C$77*0.0125,0)</x:f>
        <x:v>70375000</x:v>
      </x:c>
      <x:c r="D84" s="74" t="str">
        <x:v>1.25% of the amount borrowed</x:v>
      </x:c>
    </x:row>
    <x:row r="85" ht="18" customHeight="1">
      <x:c r="A85" s="40" t="str">
        <x:v>Installment, June–August</x:v>
      </x:c>
      <x:c r="B85" s="31" t="d">
        <x:v>2026-06-30T00:00:00.000Z</x:v>
      </x:c>
      <x:c r="C85" s="57" t="n">
        <x:f>ROUND($C$77*0.0125,0)</x:f>
        <x:v>70375000</x:v>
      </x:c>
      <x:c r="D85" s="74" t="str">
        <x:v>1.25% of the amount borrowed</x:v>
      </x:c>
    </x:row>
    <x:row r="86" ht="18" customHeight="1">
      <x:c r="A86" s="40" t="str">
        <x:v>Installment, scheduled</x:v>
      </x:c>
      <x:c r="B86" s="31" t="d">
        <x:v>2026-09-30T00:00:00.000Z</x:v>
      </x:c>
      <x:c r="C86" s="57" t="n">
        <x:f>ROUND($C$77*0.025,0)</x:f>
        <x:v>140750000</x:v>
      </x:c>
      <x:c r="D86" s="74" t="str">
        <x:v>2.50% of the amount borrowed</x:v>
      </x:c>
    </x:row>
    <x:row r="87" ht="18" customHeight="1">
      <x:c r="A87" s="40" t="str">
        <x:v>Installment, scheduled</x:v>
      </x:c>
      <x:c r="B87" s="31" t="d">
        <x:v>2026-12-31T00:00:00.000Z</x:v>
      </x:c>
      <x:c r="C87" s="57" t="n">
        <x:f>ROUND($C$77*0.025,0)</x:f>
        <x:v>140750000</x:v>
      </x:c>
      <x:c r="D87" s="74" t="str">
        <x:v>2.50% of the amount borrowed</x:v>
      </x:c>
    </x:row>
    <x:row r="88" ht="18" customHeight="1">
      <x:c r="A88" s="40" t="str">
        <x:v>Installment, scheduled</x:v>
      </x:c>
      <x:c r="B88" s="31" t="d">
        <x:v>2027-03-31T00:00:00.000Z</x:v>
      </x:c>
      <x:c r="C88" s="57" t="n">
        <x:f>ROUND($C$77*0.025,0)</x:f>
        <x:v>140750000</x:v>
      </x:c>
      <x:c r="D88" s="74" t="str">
        <x:v>2.50% of the amount borrowed</x:v>
      </x:c>
    </x:row>
    <x:row r="89" ht="18" customHeight="1">
      <x:c r="A89" s="40" t="str">
        <x:v>Installment, scheduled</x:v>
      </x:c>
      <x:c r="B89" s="31" t="d">
        <x:v>2027-06-30T00:00:00.000Z</x:v>
      </x:c>
      <x:c r="C89" s="57" t="n">
        <x:f>ROUND($C$77*0.025,0)</x:f>
        <x:v>140750000</x:v>
      </x:c>
      <x:c r="D89" s="74" t="str">
        <x:v>2.50% of the amount borrowed</x:v>
      </x:c>
    </x:row>
    <x:row r="90" ht="18" customHeight="1">
      <x:c r="A90" s="40" t="str">
        <x:v>Remaining principal</x:v>
      </x:c>
      <x:c r="B90" s="31" t="d">
        <x:v>2027-08-16T00:00:00.000Z</x:v>
      </x:c>
      <x:c r="C90" s="57" t="n">
        <x:f>C77-SUM(C78:C89)</x:f>
        <x:v>4504000000</x:v>
      </x:c>
      <x:c r="D90" s="74" t="str">
        <x:v>Due August 16, 2027 unless Oracle extends it (up to 2 years at its option).</x:v>
      </x:c>
    </x:row>
    <x:row r="91" ht="18" customHeight="1">
      <x:c r="A91" s="77" t="str">
        <x:v>Principal outstanding at August 31, 2026</x:v>
      </x:c>
      <x:c r="C91" s="77" t="n">
        <x:f>C77-SUMIFS(C78:C89,B78:B89,"&lt;="&amp;DATE(2026,8,31))</x:f>
        <x:v>5067000000</x:v>
      </x:c>
    </x:row>
    <x:row r="92" ht="18" customHeight="1">
      <x:c r="A92" s="40" t="str">
        <x:v>Check: calculated May 31, 2026 balance less reported 5,137M</x:v>
      </x:c>
      <x:c r="C92" s="57" t="n">
        <x:f>C77-SUMIFS(C78:C89,B78:B89,"&lt;="&amp;DATE(2026,5,31))-5137000000</x:f>
        <x:v>375000</x:v>
      </x:c>
      <x:c r="D92" s="74" t="str">
        <x:v>Reported to the nearest million; a difference under 0.5M agrees.</x:v>
      </x:c>
    </x:row>
    <x:row r="94" ht="42" customHeight="1">
      <x:c r="A94" s="182" t="str">
        <x:v>Instrument (10-K debt table)</x:v>
      </x:c>
      <x:c r="B94" s="182" t="str">
        <x:v>Maturity</x:v>
      </x:c>
      <x:c r="C94" s="182" t="str">
        <x:v>May 31, 2026 principal (USD millions)</x:v>
      </x:c>
      <x:c r="D94" s="182" t="str">
        <x:v>Status and source</x:v>
      </x:c>
      <x:c r="E94" s="182" t="str">
        <x:v>August 31, 2026 principal (USD millions)</x:v>
      </x:c>
      <x:c r="F94" s="182" t="str">
        <x:v>Kind</x:v>
      </x:c>
    </x:row>
    <x:row r="95" ht="42" customHeight="1">
      <x:c r="A95" s="40" t="str">
        <x:v>$3,000M, 2.65%, due July 2026</x:v>
      </x:c>
      <x:c r="B95" s="31" t="d">
        <x:v>2026-07-15T00:00:00.000Z</x:v>
      </x:c>
      <x:c r="C95" s="29" t="n">
        <x:v>3000000000</x:v>
      </x:c>
      <x:c r="D95" s="74" t="str">
        <x:v>Matured. us-gaap:DebtInstrumentCarryingAmount context C_f6f6c107-8a12-4a7a-ad60-94e54101fe3c; maturity context C_82c89223-0cbb-481e-84b9-48f80a5082f5; 0001193125-26-277521.</x:v>
      </x:c>
      <x:c r="E95" s="57" t="n">
        <x:f>C95-C95</x:f>
        <x:v>0</x:v>
      </x:c>
      <x:c r="F95" s="40" t="str">
        <x:v>Senior notes</x:v>
      </x:c>
    </x:row>
    <x:row r="96" ht="42" customHeight="1">
      <x:c r="A96" s="40" t="str">
        <x:v>$2,250M, 2.80%, due April 2027</x:v>
      </x:c>
      <x:c r="B96" s="31" t="d">
        <x:v>2027-04-01T00:00:00.000Z</x:v>
      </x:c>
      <x:c r="C96" s="29" t="n">
        <x:v>2250000000</x:v>
      </x:c>
      <x:c r="D96" s="74" t="str">
        <x:v>Carried forward. us-gaap:DebtInstrumentCarryingAmount context C_a743ec6f-8eeb-46ab-9053-3f4f619edb0e; maturity context C_4ed1ffae-e627-4ff0-9e73-62f4d4831289; 0001193125-26-277521.</x:v>
      </x:c>
      <x:c r="E96" s="57" t="n">
        <x:f>C96</x:f>
        <x:v>2250000000</x:v>
      </x:c>
      <x:c r="F96" s="40" t="str">
        <x:v>Senior notes</x:v>
      </x:c>
    </x:row>
    <x:row r="97" ht="42" customHeight="1">
      <x:c r="A97" s="40" t="str">
        <x:v>$2,750M, 3.25%, due November 2027</x:v>
      </x:c>
      <x:c r="B97" s="31" t="d">
        <x:v>2027-11-15T00:00:00.000Z</x:v>
      </x:c>
      <x:c r="C97" s="29" t="n">
        <x:v>2750000000</x:v>
      </x:c>
      <x:c r="D97" s="74" t="str">
        <x:v>Carried forward. us-gaap:DebtInstrumentCarryingAmount context C_4c58a11e-87b8-42bf-abc3-7205aad3686f; maturity context C_1c95f548-9457-4d15-a314-5846d57f51bb; 0001193125-26-277521.</x:v>
      </x:c>
      <x:c r="E97" s="57" t="n">
        <x:f>C97</x:f>
        <x:v>2750000000</x:v>
      </x:c>
      <x:c r="F97" s="40" t="str">
        <x:v>Senior notes</x:v>
      </x:c>
    </x:row>
    <x:row r="98" ht="42" customHeight="1">
      <x:c r="A98" s="40" t="str">
        <x:v>$2,000M, 2.30%, due March 2028</x:v>
      </x:c>
      <x:c r="B98" s="31" t="d">
        <x:v>2028-03-25T00:00:00.000Z</x:v>
      </x:c>
      <x:c r="C98" s="29" t="n">
        <x:v>2000000000</x:v>
      </x:c>
      <x:c r="D98" s="74" t="str">
        <x:v>Carried forward. us-gaap:DebtInstrumentCarryingAmount context C_4a760de7-ba70-4c1c-ac7b-173b0770c81c; maturity context C_41995800-b301-4bca-aa8e-d3d7891b9a21; 0001193125-26-277521.</x:v>
      </x:c>
      <x:c r="E98" s="57" t="n">
        <x:f>C98</x:f>
        <x:v>2000000000</x:v>
      </x:c>
      <x:c r="F98" s="40" t="str">
        <x:v>Senior notes</x:v>
      </x:c>
    </x:row>
    <x:row r="99" ht="42" customHeight="1">
      <x:c r="A99" s="40" t="str">
        <x:v>$750M, 4.50%, due May 2028</x:v>
      </x:c>
      <x:c r="B99" s="31" t="d">
        <x:v>2028-05-31T00:00:00.000Z</x:v>
      </x:c>
      <x:c r="C99" s="29" t="n">
        <x:v>750000000</x:v>
      </x:c>
      <x:c r="D99" s="74" t="str">
        <x:v>Carried forward. us-gaap:DebtInstrumentCarryingAmount context C_9142af28-1adb-4c96-b444-3af20bbae4be; maturity context C_ee007d6d-25d3-45c9-b6db-c8e95861832f; 0001193125-26-277521.</x:v>
      </x:c>
      <x:c r="E99" s="57" t="n">
        <x:f>C99</x:f>
        <x:v>750000000</x:v>
      </x:c>
      <x:c r="F99" s="40" t="str">
        <x:v>Senior notes</x:v>
      </x:c>
    </x:row>
    <x:row r="100" ht="42" customHeight="1">
      <x:c r="A100" s="40" t="str">
        <x:v>$1,500M, 4.80%, due August 2028</x:v>
      </x:c>
      <x:c r="B100" s="31" t="d">
        <x:v>2028-08-03T00:00:00.000Z</x:v>
      </x:c>
      <x:c r="C100" s="29" t="n">
        <x:v>1500000000</x:v>
      </x:c>
      <x:c r="D100" s="74" t="str">
        <x:v>Carried forward. us-gaap:DebtInstrumentCarryingAmount context C_6d6ee105-8c7d-4446-b600-b6b3bf8abe98; maturity context C_b0308845-53c8-4e78-84f0-632a05942478; 0001193125-26-277521.</x:v>
      </x:c>
      <x:c r="E100" s="57" t="n">
        <x:f>C100</x:f>
        <x:v>1500000000</x:v>
      </x:c>
      <x:c r="F100" s="40" t="str">
        <x:v>Senior notes</x:v>
      </x:c>
    </x:row>
    <x:row r="101" ht="42" customHeight="1">
      <x:c r="A101" s="40" t="str">
        <x:v>$3,000M, 4.55%, due February 2029</x:v>
      </x:c>
      <x:c r="B101" s="31" t="d">
        <x:v>2029-02-04T00:00:00.000Z</x:v>
      </x:c>
      <x:c r="C101" s="29" t="n">
        <x:v>3000000000</x:v>
      </x:c>
      <x:c r="D101" s="74" t="str">
        <x:v>Carried forward. us-gaap:DebtInstrumentCarryingAmount context C_65c60c9a-dbfb-41bd-abf8-5f20f2aaba3f; maturity context C_60faf990-bab5-4720-a6bb-473674f3409b; 0001193125-26-277521.</x:v>
      </x:c>
      <x:c r="E101" s="57" t="n">
        <x:f>C101</x:f>
        <x:v>3000000000</x:v>
      </x:c>
      <x:c r="F101" s="40" t="str">
        <x:v>Senior notes</x:v>
      </x:c>
    </x:row>
    <x:row r="102" ht="42" customHeight="1">
      <x:c r="A102" s="40" t="str">
        <x:v>$1,500M, 4.20%, due September 2029</x:v>
      </x:c>
      <x:c r="B102" s="31" t="d">
        <x:v>2029-09-27T00:00:00.000Z</x:v>
      </x:c>
      <x:c r="C102" s="29" t="n">
        <x:v>1500000000</x:v>
      </x:c>
      <x:c r="D102" s="74" t="str">
        <x:v>Carried forward. us-gaap:DebtInstrumentCarryingAmount context C_4b945cce-a91e-4713-8804-16879a87ff5b; maturity context C_284f12f2-49cc-4919-9bfe-565b7cb11da3; 0001193125-26-277521.</x:v>
      </x:c>
      <x:c r="E102" s="57" t="n">
        <x:f>C102</x:f>
        <x:v>1500000000</x:v>
      </x:c>
      <x:c r="F102" s="40" t="str">
        <x:v>Senior notes</x:v>
      </x:c>
    </x:row>
    <x:row r="103" ht="42" customHeight="1">
      <x:c r="A103" s="40" t="str">
        <x:v>$1,250M, 6.15%, due November 2029</x:v>
      </x:c>
      <x:c r="B103" s="31" t="d">
        <x:v>2029-11-09T00:00:00.000Z</x:v>
      </x:c>
      <x:c r="C103" s="29" t="n">
        <x:v>1250000000</x:v>
      </x:c>
      <x:c r="D103" s="74" t="str">
        <x:v>Carried forward. us-gaap:DebtInstrumentCarryingAmount context C_8aa7e201-edc6-4920-8256-35f8ee18f4b8; maturity context C_4973fb3e-333f-477a-ba61-72a554e14e74; 0001193125-26-277521.</x:v>
      </x:c>
      <x:c r="E103" s="57" t="n">
        <x:f>C103</x:f>
        <x:v>1250000000</x:v>
      </x:c>
      <x:c r="F103" s="40" t="str">
        <x:v>Senior notes</x:v>
      </x:c>
    </x:row>
    <x:row r="104" ht="42" customHeight="1">
      <x:c r="A104" s="40" t="str">
        <x:v>$3,250M, 2.95%, due April 2030</x:v>
      </x:c>
      <x:c r="B104" s="31" t="d">
        <x:v>2030-04-01T00:00:00.000Z</x:v>
      </x:c>
      <x:c r="C104" s="29" t="n">
        <x:v>3250000000</x:v>
      </x:c>
      <x:c r="D104" s="74" t="str">
        <x:v>Carried forward. us-gaap:DebtInstrumentCarryingAmount context C_b19b50e6-b222-456d-9fea-1bca5e3fb634; maturity context C_e5ce1dde-2e13-478e-abdb-bcf96493f139; 0001193125-26-277521.</x:v>
      </x:c>
      <x:c r="E104" s="57" t="n">
        <x:f>C104</x:f>
        <x:v>3250000000</x:v>
      </x:c>
      <x:c r="F104" s="40" t="str">
        <x:v>Senior notes</x:v>
      </x:c>
    </x:row>
    <x:row r="105" ht="42" customHeight="1">
      <x:c r="A105" s="40" t="str">
        <x:v>$750M, 4.65%, due May 2030</x:v>
      </x:c>
      <x:c r="B105" s="31" t="d">
        <x:v>2030-05-31T00:00:00.000Z</x:v>
      </x:c>
      <x:c r="C105" s="29" t="n">
        <x:v>750000000</x:v>
      </x:c>
      <x:c r="D105" s="74" t="str">
        <x:v>Carried forward. us-gaap:DebtInstrumentCarryingAmount context C_c76136cd-2797-4fef-883c-79d66d5a2837; maturity context C_59ec280a-ba89-4433-a4e5-ee4f403f9184; 0001193125-26-277521.</x:v>
      </x:c>
      <x:c r="E105" s="57" t="n">
        <x:f>C105</x:f>
        <x:v>750000000</x:v>
      </x:c>
      <x:c r="F105" s="40" t="str">
        <x:v>Senior notes</x:v>
      </x:c>
    </x:row>
    <x:row r="106" ht="42" customHeight="1">
      <x:c r="A106" s="40" t="str">
        <x:v>$500M, 3.25%, due May 2030</x:v>
      </x:c>
      <x:c r="B106" s="31" t="d">
        <x:v>2030-05-15T00:00:00.000Z</x:v>
      </x:c>
      <x:c r="C106" s="29" t="n">
        <x:v>500000000</x:v>
      </x:c>
      <x:c r="D106" s="74" t="str">
        <x:v>Carried forward. us-gaap:DebtInstrumentCarryingAmount context C_70c2256f-1f16-4e15-bc5c-53c1fc629421; maturity context C_c0d2d8c5-4432-486a-8154-4b567f4506b1; 0001193125-26-277521.</x:v>
      </x:c>
      <x:c r="E106" s="57" t="n">
        <x:f>C106</x:f>
        <x:v>500000000</x:v>
      </x:c>
      <x:c r="F106" s="40" t="str">
        <x:v>Senior notes</x:v>
      </x:c>
    </x:row>
    <x:row r="107" ht="42" customHeight="1">
      <x:c r="A107" s="40" t="str">
        <x:v>$3,000M, 4.45%, due September 2030</x:v>
      </x:c>
      <x:c r="B107" s="31" t="d">
        <x:v>2030-09-26T00:00:00.000Z</x:v>
      </x:c>
      <x:c r="C107" s="29" t="n">
        <x:v>3000000000</x:v>
      </x:c>
      <x:c r="D107" s="74" t="str">
        <x:v>Carried forward. us-gaap:DebtInstrumentCarryingAmount context C_113e803d-da69-4c22-a39c-a109d7514b35; maturity context C_450fa2a2-ef57-465e-8c9a-60b4dc366c86; 0001193125-26-277521.</x:v>
      </x:c>
      <x:c r="E107" s="57" t="n">
        <x:f>C107</x:f>
        <x:v>3000000000</x:v>
      </x:c>
      <x:c r="F107" s="40" t="str">
        <x:v>Senior notes</x:v>
      </x:c>
    </x:row>
    <x:row r="108" ht="42" customHeight="1">
      <x:c r="A108" s="40" t="str">
        <x:v>$3,500M, 4.95%, due February 2031</x:v>
      </x:c>
      <x:c r="B108" s="31" t="d">
        <x:v>2031-02-04T00:00:00.000Z</x:v>
      </x:c>
      <x:c r="C108" s="29" t="n">
        <x:v>3500000000</x:v>
      </x:c>
      <x:c r="D108" s="74" t="str">
        <x:v>Carried forward. us-gaap:DebtInstrumentCarryingAmount context C_87f6716e-b1b9-4a3d-9ba1-858589593ee3; maturity context C_0929a12e-be9c-4351-bfcf-c9898bf10fa9; 0001193125-26-277521.</x:v>
      </x:c>
      <x:c r="E108" s="57" t="n">
        <x:f>C108</x:f>
        <x:v>3500000000</x:v>
      </x:c>
      <x:c r="F108" s="40" t="str">
        <x:v>Senior notes</x:v>
      </x:c>
    </x:row>
    <x:row r="109" ht="42" customHeight="1">
      <x:c r="A109" s="40" t="str">
        <x:v>$3,250M, 2.875%, due March 2031</x:v>
      </x:c>
      <x:c r="B109" s="31" t="d">
        <x:v>2031-03-31T00:00:00.000Z</x:v>
      </x:c>
      <x:c r="C109" s="29" t="n">
        <x:v>3250000000</x:v>
      </x:c>
      <x:c r="D109" s="74" t="str">
        <x:v>Carried forward. us-gaap:DebtInstrumentCarryingAmount context C_48f76007-8b8f-482c-ae4e-cc2d13f4241b; maturity context C_011cb79f-6e74-4a91-be76-d4061500e549; 0001193125-26-277521.</x:v>
      </x:c>
      <x:c r="E109" s="57" t="n">
        <x:f>C109</x:f>
        <x:v>3250000000</x:v>
      </x:c>
      <x:c r="F109" s="40" t="str">
        <x:v>Senior notes</x:v>
      </x:c>
    </x:row>
    <x:row r="110" ht="42" customHeight="1">
      <x:c r="A110" s="40" t="str">
        <x:v>$1,250M, 5.25%, due February 2032</x:v>
      </x:c>
      <x:c r="B110" s="31" t="d">
        <x:v>2032-02-03T00:00:00.000Z</x:v>
      </x:c>
      <x:c r="C110" s="29" t="n">
        <x:v>1250000000</x:v>
      </x:c>
      <x:c r="D110" s="74" t="str">
        <x:v>Carried forward. us-gaap:DebtInstrumentCarryingAmount context C_e42f7f37-e8c5-46a8-90f7-e218c66724e4; maturity context C_0ee767cf-95d4-47fb-b863-88f4b4296910; 0001193125-26-277521.</x:v>
      </x:c>
      <x:c r="E110" s="57" t="n">
        <x:f>C110</x:f>
        <x:v>1250000000</x:v>
      </x:c>
      <x:c r="F110" s="40" t="str">
        <x:v>Senior notes</x:v>
      </x:c>
    </x:row>
    <x:row r="111" ht="42" customHeight="1">
      <x:c r="A111" s="40" t="str">
        <x:v>$3,000M, 4.80%, due September 2032</x:v>
      </x:c>
      <x:c r="B111" s="31" t="d">
        <x:v>2032-09-26T00:00:00.000Z</x:v>
      </x:c>
      <x:c r="C111" s="29" t="n">
        <x:v>3000000000</x:v>
      </x:c>
      <x:c r="D111" s="74" t="str">
        <x:v>Carried forward. us-gaap:DebtInstrumentCarryingAmount context C_50527f49-e9c6-4c52-a8ec-b1c2a0068c55; maturity context C_1703a636-7c7e-455b-9aad-037fbbaacc99; 0001193125-26-277521.</x:v>
      </x:c>
      <x:c r="E111" s="57" t="n">
        <x:f>C111</x:f>
        <x:v>3000000000</x:v>
      </x:c>
      <x:c r="F111" s="40" t="str">
        <x:v>Senior notes</x:v>
      </x:c>
    </x:row>
    <x:row r="112" ht="42" customHeight="1">
      <x:c r="A112" s="40" t="str">
        <x:v>$2,250M, 6.25%, due November 2032</x:v>
      </x:c>
      <x:c r="B112" s="31" t="d">
        <x:v>2032-11-09T00:00:00.000Z</x:v>
      </x:c>
      <x:c r="C112" s="29" t="n">
        <x:v>2250000000</x:v>
      </x:c>
      <x:c r="D112" s="74" t="str">
        <x:v>Carried forward. us-gaap:DebtInstrumentCarryingAmount context C_3baaf4b5-05a7-4e95-a2c7-fdbbde90234a; maturity context C_cecd92ce-5eb3-4ec8-94f1-e313e35dd75e; 0001193125-26-277521.</x:v>
      </x:c>
      <x:c r="E112" s="57" t="n">
        <x:f>C112</x:f>
        <x:v>2250000000</x:v>
      </x:c>
      <x:c r="F112" s="40" t="str">
        <x:v>Senior notes</x:v>
      </x:c>
    </x:row>
    <x:row r="113" ht="42" customHeight="1">
      <x:c r="A113" s="40" t="str">
        <x:v>$1,500M, 4.90%, due February 2033</x:v>
      </x:c>
      <x:c r="B113" s="31" t="d">
        <x:v>2033-02-28T00:00:00.000Z</x:v>
      </x:c>
      <x:c r="C113" s="29" t="n">
        <x:v>1500000000</x:v>
      </x:c>
      <x:c r="D113" s="74" t="str">
        <x:v>Carried forward. us-gaap:DebtInstrumentCarryingAmount context C_532c52db-e3a7-41dc-a1d8-5abc4267e4d1; maturity context C_8c69b03d-1853-45b2-905e-31a465a92f7e; 0001193125-26-277521.</x:v>
      </x:c>
      <x:c r="E113" s="57" t="n">
        <x:f>C113</x:f>
        <x:v>1500000000</x:v>
      </x:c>
      <x:c r="F113" s="40" t="str">
        <x:v>Senior notes</x:v>
      </x:c>
    </x:row>
    <x:row r="114" ht="42" customHeight="1">
      <x:c r="A114" s="40" t="str">
        <x:v>$3,000M, 5.35%, due May 2033</x:v>
      </x:c>
      <x:c r="B114" s="31" t="d">
        <x:v>2033-05-04T00:00:00.000Z</x:v>
      </x:c>
      <x:c r="C114" s="29" t="n">
        <x:v>3000000000</x:v>
      </x:c>
      <x:c r="D114" s="74" t="str">
        <x:v>Carried forward. us-gaap:DebtInstrumentCarryingAmount context C_b9924291-37c4-4597-bf81-6b6f7148423e; maturity context C_2bf90733-de25-4675-b8ec-f0cae3262cec; 0001193125-26-277521.</x:v>
      </x:c>
      <x:c r="E114" s="57" t="n">
        <x:f>C114</x:f>
        <x:v>3000000000</x:v>
      </x:c>
      <x:c r="F114" s="40" t="str">
        <x:v>Senior notes</x:v>
      </x:c>
    </x:row>
    <x:row r="115" ht="42" customHeight="1">
      <x:c r="A115" s="40" t="str">
        <x:v>$1,750M, 4.30%, due July 2034</x:v>
      </x:c>
      <x:c r="B115" s="31" t="d">
        <x:v>2034-07-08T00:00:00.000Z</x:v>
      </x:c>
      <x:c r="C115" s="29" t="n">
        <x:v>1750000000</x:v>
      </x:c>
      <x:c r="D115" s="74" t="str">
        <x:v>Carried forward. us-gaap:DebtInstrumentCarryingAmount context C_f735565f-4060-4ea6-9a9b-a17b4d097aca; maturity context C_fdd0efc7-2a44-4070-96c8-a22a2e9be324; 0001193125-26-277521.</x:v>
      </x:c>
      <x:c r="E115" s="57" t="n">
        <x:f>C115</x:f>
        <x:v>1750000000</x:v>
      </x:c>
      <x:c r="F115" s="40" t="str">
        <x:v>Senior notes</x:v>
      </x:c>
    </x:row>
    <x:row r="116" ht="42" customHeight="1">
      <x:c r="A116" s="40" t="str">
        <x:v>$1,750M, 4.70%, due September 2034</x:v>
      </x:c>
      <x:c r="B116" s="31" t="d">
        <x:v>2034-09-27T00:00:00.000Z</x:v>
      </x:c>
      <x:c r="C116" s="29" t="n">
        <x:v>1750000000</x:v>
      </x:c>
      <x:c r="D116" s="74" t="str">
        <x:v>Carried forward. us-gaap:DebtInstrumentCarryingAmount context C_15416320-28ee-45bd-9193-de9adecf8103; maturity context C_5494947c-d4aa-4925-ace3-a65e708e5657; 0001193125-26-277521.</x:v>
      </x:c>
      <x:c r="E116" s="57" t="n">
        <x:f>C116</x:f>
        <x:v>1750000000</x:v>
      </x:c>
      <x:c r="F116" s="40" t="str">
        <x:v>Senior notes</x:v>
      </x:c>
    </x:row>
    <x:row r="117" ht="42" customHeight="1">
      <x:c r="A117" s="40" t="str">
        <x:v>$1,250M, 3.90%, due May 2035</x:v>
      </x:c>
      <x:c r="B117" s="31" t="d">
        <x:v>2035-05-15T00:00:00.000Z</x:v>
      </x:c>
      <x:c r="C117" s="29" t="n">
        <x:v>1250000000</x:v>
      </x:c>
      <x:c r="D117" s="74" t="str">
        <x:v>Carried forward. us-gaap:DebtInstrumentCarryingAmount context C_01f50072-c7e6-47ea-9b91-24a078772c62; maturity context C_7ca11f63-9a19-4daa-bfdc-20512d930ab7; 0001193125-26-277521.</x:v>
      </x:c>
      <x:c r="E117" s="57" t="n">
        <x:f>C117</x:f>
        <x:v>1250000000</x:v>
      </x:c>
      <x:c r="F117" s="40" t="str">
        <x:v>Senior notes</x:v>
      </x:c>
    </x:row>
    <x:row r="118" ht="42" customHeight="1">
      <x:c r="A118" s="40" t="str">
        <x:v>$1,750M, 5.50%, due August 2035</x:v>
      </x:c>
      <x:c r="B118" s="31" t="d">
        <x:v>2035-08-03T00:00:00.000Z</x:v>
      </x:c>
      <x:c r="C118" s="29" t="n">
        <x:v>1750000000</x:v>
      </x:c>
      <x:c r="D118" s="74" t="str">
        <x:v>Carried forward. us-gaap:DebtInstrumentCarryingAmount context C_aac57422-340d-4fbf-b85b-5fcc96306c34; maturity context C_828d1f7b-6c6e-40f0-b4d5-f8bb3835de34; 0001193125-26-277521.</x:v>
      </x:c>
      <x:c r="E118" s="57" t="n">
        <x:f>C118</x:f>
        <x:v>1750000000</x:v>
      </x:c>
      <x:c r="F118" s="40" t="str">
        <x:v>Senior notes</x:v>
      </x:c>
    </x:row>
    <x:row r="119" ht="42" customHeight="1">
      <x:c r="A119" s="40" t="str">
        <x:v>$4,000M, 5.20%, due September 2035</x:v>
      </x:c>
      <x:c r="B119" s="31" t="d">
        <x:v>2035-09-26T00:00:00.000Z</x:v>
      </x:c>
      <x:c r="C119" s="29" t="n">
        <x:v>4000000000</x:v>
      </x:c>
      <x:c r="D119" s="74" t="str">
        <x:v>Carried forward. us-gaap:DebtInstrumentCarryingAmount context C_573df544-be68-4729-878f-dc0c4d603869; maturity context C_3ddf21c1-db22-40ae-ab21-78484efaa8f6; 0001193125-26-277521.</x:v>
      </x:c>
      <x:c r="E119" s="57" t="n">
        <x:f>C119</x:f>
        <x:v>4000000000</x:v>
      </x:c>
      <x:c r="F119" s="40" t="str">
        <x:v>Senior notes</x:v>
      </x:c>
    </x:row>
    <x:row r="120" ht="42" customHeight="1">
      <x:c r="A120" s="40" t="str">
        <x:v>$5,000M, 5.70%, due February 2036</x:v>
      </x:c>
      <x:c r="B120" s="31" t="d">
        <x:v>2036-02-04T00:00:00.000Z</x:v>
      </x:c>
      <x:c r="C120" s="29" t="n">
        <x:v>5000000000</x:v>
      </x:c>
      <x:c r="D120" s="74" t="str">
        <x:v>Carried forward. us-gaap:DebtInstrumentCarryingAmount context C_eb11f4ee-c98c-405c-9c32-8f9b81fee1fa; maturity context C_89b9516f-1cdf-4f51-89cd-0a963c57d0de; 0001193125-26-277521.</x:v>
      </x:c>
      <x:c r="E120" s="57" t="n">
        <x:f>C120</x:f>
        <x:v>5000000000</x:v>
      </x:c>
      <x:c r="F120" s="40" t="str">
        <x:v>Senior notes</x:v>
      </x:c>
    </x:row>
    <x:row r="121" ht="42" customHeight="1">
      <x:c r="A121" s="40" t="str">
        <x:v>$1,250M, 3.85%, due July 2036</x:v>
      </x:c>
      <x:c r="B121" s="31" t="d">
        <x:v>2036-07-15T00:00:00.000Z</x:v>
      </x:c>
      <x:c r="C121" s="29" t="n">
        <x:v>1250000000</x:v>
      </x:c>
      <x:c r="D121" s="74" t="str">
        <x:v>Carried forward. us-gaap:DebtInstrumentCarryingAmount context C_72fff26c-c6a0-4942-9b20-5d70cc2c444c; maturity context C_ef573705-b08a-40a1-807a-7491d13bfcc8; 0001193125-26-277521.</x:v>
      </x:c>
      <x:c r="E121" s="57" t="n">
        <x:f>C121</x:f>
        <x:v>1250000000</x:v>
      </x:c>
      <x:c r="F121" s="40" t="str">
        <x:v>Senior notes</x:v>
      </x:c>
    </x:row>
    <x:row r="122" ht="42" customHeight="1">
      <x:c r="A122" s="40" t="str">
        <x:v>$1,750M, 3.80%, due November 2037</x:v>
      </x:c>
      <x:c r="B122" s="31" t="d">
        <x:v>2037-11-15T00:00:00.000Z</x:v>
      </x:c>
      <x:c r="C122" s="29" t="n">
        <x:v>1750000000</x:v>
      </x:c>
      <x:c r="D122" s="74" t="str">
        <x:v>Carried forward. us-gaap:DebtInstrumentCarryingAmount context C_7f258c62-3faa-4ff0-8ea7-70a73c3c6b74; maturity context C_a2306cc6-35b8-453c-ab02-0b0e5b0493be; 0001193125-26-277521.</x:v>
      </x:c>
      <x:c r="E122" s="57" t="n">
        <x:f>C122</x:f>
        <x:v>1750000000</x:v>
      </x:c>
      <x:c r="F122" s="40" t="str">
        <x:v>Senior notes</x:v>
      </x:c>
    </x:row>
    <x:row r="123" ht="42" customHeight="1">
      <x:c r="A123" s="40" t="str">
        <x:v>$1,250M, 6.50%, due April 2038</x:v>
      </x:c>
      <x:c r="B123" s="31" t="d">
        <x:v>2038-04-15T00:00:00.000Z</x:v>
      </x:c>
      <x:c r="C123" s="29" t="n">
        <x:v>1250000000</x:v>
      </x:c>
      <x:c r="D123" s="74" t="str">
        <x:v>Carried forward. us-gaap:DebtInstrumentCarryingAmount context C_3f89c9fc-6e68-4cc6-83e1-9c86b63ce9de; maturity context C_f4141e79-31ec-4605-98b2-166f8d73bb5e; 0001193125-26-277521.</x:v>
      </x:c>
      <x:c r="E123" s="57" t="n">
        <x:f>C123</x:f>
        <x:v>1250000000</x:v>
      </x:c>
      <x:c r="F123" s="40" t="str">
        <x:v>Senior notes</x:v>
      </x:c>
    </x:row>
    <x:row r="124" ht="42" customHeight="1">
      <x:c r="A124" s="40" t="str">
        <x:v>$1,250M, 6.125%, due July 2039</x:v>
      </x:c>
      <x:c r="B124" s="31" t="d">
        <x:v>2039-07-08T00:00:00.000Z</x:v>
      </x:c>
      <x:c r="C124" s="29" t="n">
        <x:v>1250000000</x:v>
      </x:c>
      <x:c r="D124" s="74" t="str">
        <x:v>Carried forward. us-gaap:DebtInstrumentCarryingAmount context C_ac987fd5-0ebc-4b0b-acd6-cb559c89ce69; maturity context C_9c891068-4ae1-4cd3-971b-255cf7a9da34; 0001193125-26-277521.</x:v>
      </x:c>
      <x:c r="E124" s="57" t="n">
        <x:f>C124</x:f>
        <x:v>1250000000</x:v>
      </x:c>
      <x:c r="F124" s="40" t="str">
        <x:v>Senior notes</x:v>
      </x:c>
    </x:row>
    <x:row r="125" ht="42" customHeight="1">
      <x:c r="A125" s="40" t="str">
        <x:v>$3,000M, 3.60%, due April 2040</x:v>
      </x:c>
      <x:c r="B125" s="31" t="d">
        <x:v>2040-04-01T00:00:00.000Z</x:v>
      </x:c>
      <x:c r="C125" s="29" t="n">
        <x:v>3000000000</x:v>
      </x:c>
      <x:c r="D125" s="74" t="str">
        <x:v>Carried forward. us-gaap:DebtInstrumentCarryingAmount context C_edacb177-150a-440a-8eab-3b1f65db82ab; maturity context C_3cafaf53-01fa-4115-9e1b-0c641b079928; 0001193125-26-277521.</x:v>
      </x:c>
      <x:c r="E125" s="57" t="n">
        <x:f>C125</x:f>
        <x:v>3000000000</x:v>
      </x:c>
      <x:c r="F125" s="40" t="str">
        <x:v>Senior notes</x:v>
      </x:c>
    </x:row>
    <x:row r="126" ht="42" customHeight="1">
      <x:c r="A126" s="40" t="str">
        <x:v>$2,250M, 5.375%, due July 2040</x:v>
      </x:c>
      <x:c r="B126" s="31" t="d">
        <x:v>2040-07-15T00:00:00.000Z</x:v>
      </x:c>
      <x:c r="C126" s="29" t="n">
        <x:v>2250000000</x:v>
      </x:c>
      <x:c r="D126" s="74" t="str">
        <x:v>Carried forward. us-gaap:DebtInstrumentCarryingAmount context C_ea9fb0e1-e7f4-43bd-9646-a319ee8e1fad; maturity context C_868ab625-7743-4f27-9158-b00ca8c5c651; 0001193125-26-277521.</x:v>
      </x:c>
      <x:c r="E126" s="57" t="n">
        <x:f>C126</x:f>
        <x:v>2250000000</x:v>
      </x:c>
      <x:c r="F126" s="40" t="str">
        <x:v>Senior notes</x:v>
      </x:c>
    </x:row>
    <x:row r="127" ht="42" customHeight="1">
      <x:c r="A127" s="40" t="str">
        <x:v>$2,250M, 3.65%, due March 2041</x:v>
      </x:c>
      <x:c r="B127" s="31" t="d">
        <x:v>2041-03-25T00:00:00.000Z</x:v>
      </x:c>
      <x:c r="C127" s="29" t="n">
        <x:v>2250000000</x:v>
      </x:c>
      <x:c r="D127" s="74" t="str">
        <x:v>Carried forward. us-gaap:DebtInstrumentCarryingAmount context C_0279d3a4-1e75-4ad5-847d-0aae45a2dc5a; maturity context C_7b023360-6988-496f-b647-79d8dc671c30; 0001193125-26-277521.</x:v>
      </x:c>
      <x:c r="E127" s="57" t="n">
        <x:f>C127</x:f>
        <x:v>2250000000</x:v>
      </x:c>
      <x:c r="F127" s="40" t="str">
        <x:v>Senior notes</x:v>
      </x:c>
    </x:row>
    <x:row r="128" ht="42" customHeight="1">
      <x:c r="A128" s="40" t="str">
        <x:v>$1,000M, 4.50%, due July 2044</x:v>
      </x:c>
      <x:c r="B128" s="31" t="d">
        <x:v>2044-07-08T00:00:00.000Z</x:v>
      </x:c>
      <x:c r="C128" s="29" t="n">
        <x:v>1000000000</x:v>
      </x:c>
      <x:c r="D128" s="74" t="str">
        <x:v>Carried forward. us-gaap:DebtInstrumentCarryingAmount context C_fbf167a2-b1f8-4f0a-9421-2691f6ee52e0; maturity context C_d4da1d90-accf-45e8-8a72-555d0018fa4b; 0001193125-26-277521.</x:v>
      </x:c>
      <x:c r="E128" s="57" t="n">
        <x:f>C128</x:f>
        <x:v>1000000000</x:v>
      </x:c>
      <x:c r="F128" s="40" t="str">
        <x:v>Senior notes</x:v>
      </x:c>
    </x:row>
    <x:row r="129" ht="42" customHeight="1">
      <x:c r="A129" s="40" t="str">
        <x:v>$2,000M, 4.125%, due May 2045</x:v>
      </x:c>
      <x:c r="B129" s="31" t="d">
        <x:v>2045-05-15T00:00:00.000Z</x:v>
      </x:c>
      <x:c r="C129" s="29" t="n">
        <x:v>2000000000</x:v>
      </x:c>
      <x:c r="D129" s="74" t="str">
        <x:v>Carried forward. us-gaap:DebtInstrumentCarryingAmount context C_659e0314-4b26-4b16-98b4-e72d8c61f734; maturity context C_726b02be-7017-4cd7-946a-0a4fb85cad4d; 0001193125-26-277521.</x:v>
      </x:c>
      <x:c r="E129" s="57" t="n">
        <x:f>C129</x:f>
        <x:v>2000000000</x:v>
      </x:c>
      <x:c r="F129" s="40" t="str">
        <x:v>Senior notes</x:v>
      </x:c>
    </x:row>
    <x:row r="130" ht="42" customHeight="1">
      <x:c r="A130" s="40" t="str">
        <x:v>$2,500M, 5.875%, due September 2045</x:v>
      </x:c>
      <x:c r="B130" s="31" t="d">
        <x:v>2045-09-26T00:00:00.000Z</x:v>
      </x:c>
      <x:c r="C130" s="29" t="n">
        <x:v>2500000000</x:v>
      </x:c>
      <x:c r="D130" s="74" t="str">
        <x:v>Carried forward. us-gaap:DebtInstrumentCarryingAmount context C_988fd38e-d5f3-4fa1-b1de-787d7b61a453; maturity context C_c7fadca5-29db-4521-ba7d-9fb916fbb3e0; 0001193125-26-277521.</x:v>
      </x:c>
      <x:c r="E130" s="57" t="n">
        <x:f>C130</x:f>
        <x:v>2500000000</x:v>
      </x:c>
      <x:c r="F130" s="40" t="str">
        <x:v>Senior notes</x:v>
      </x:c>
    </x:row>
    <x:row r="131" ht="42" customHeight="1">
      <x:c r="A131" s="40" t="str">
        <x:v>$2,250M, 6.55%, due February 2046</x:v>
      </x:c>
      <x:c r="B131" s="31" t="d">
        <x:v>2046-02-04T00:00:00.000Z</x:v>
      </x:c>
      <x:c r="C131" s="29" t="n">
        <x:v>2250000000</x:v>
      </x:c>
      <x:c r="D131" s="74" t="str">
        <x:v>Carried forward. us-gaap:DebtInstrumentCarryingAmount context C_eaaaba69-f386-49f6-9dbc-4f5720b4ffcc; maturity context C_e88e6562-aa5b-4c1c-96c1-2ec27cdce992; 0001193125-26-277521.</x:v>
      </x:c>
      <x:c r="E131" s="57" t="n">
        <x:f>C131</x:f>
        <x:v>2250000000</x:v>
      </x:c>
      <x:c r="F131" s="40" t="str">
        <x:v>Senior notes</x:v>
      </x:c>
    </x:row>
    <x:row r="132" ht="42" customHeight="1">
      <x:c r="A132" s="40" t="str">
        <x:v>$3,000M, 4.00%, due July 2046</x:v>
      </x:c>
      <x:c r="B132" s="31" t="d">
        <x:v>2046-07-15T00:00:00.000Z</x:v>
      </x:c>
      <x:c r="C132" s="29" t="n">
        <x:v>3000000000</x:v>
      </x:c>
      <x:c r="D132" s="74" t="str">
        <x:v>Carried forward. us-gaap:DebtInstrumentCarryingAmount context C_01a106fb-d1a5-45eb-aea5-1d2c1f806db3; maturity context C_e2302914-4319-4cc7-8ca6-ad70894e7492; 0001193125-26-277521.</x:v>
      </x:c>
      <x:c r="E132" s="57" t="n">
        <x:f>C132</x:f>
        <x:v>3000000000</x:v>
      </x:c>
      <x:c r="F132" s="40" t="str">
        <x:v>Senior notes</x:v>
      </x:c>
    </x:row>
    <x:row r="133" ht="42" customHeight="1">
      <x:c r="A133" s="40" t="str">
        <x:v>$2,250M, 4.00%, due November 2047</x:v>
      </x:c>
      <x:c r="B133" s="31" t="d">
        <x:v>2047-11-15T00:00:00.000Z</x:v>
      </x:c>
      <x:c r="C133" s="29" t="n">
        <x:v>2250000000</x:v>
      </x:c>
      <x:c r="D133" s="74" t="str">
        <x:v>Carried forward. us-gaap:DebtInstrumentCarryingAmount context C_c028290f-556a-41ee-891d-a0580570969c; maturity context C_d746ab53-93c3-44f7-a9bc-1c5270381f53; 0001193125-26-277521.</x:v>
      </x:c>
      <x:c r="E133" s="57" t="n">
        <x:f>C133</x:f>
        <x:v>2250000000</x:v>
      </x:c>
      <x:c r="F133" s="40" t="str">
        <x:v>Senior notes</x:v>
      </x:c>
    </x:row>
    <x:row r="134" ht="42" customHeight="1">
      <x:c r="A134" s="40" t="str">
        <x:v>$4,500M, 3.60%, due April 2050</x:v>
      </x:c>
      <x:c r="B134" s="31" t="d">
        <x:v>2050-04-01T00:00:00.000Z</x:v>
      </x:c>
      <x:c r="C134" s="29" t="n">
        <x:v>4500000000</x:v>
      </x:c>
      <x:c r="D134" s="74" t="str">
        <x:v>Carried forward. us-gaap:DebtInstrumentCarryingAmount context C_93d974de-69a0-4d66-8685-9c10b38c70e4; maturity context C_6e65a72f-e02d-4176-92a6-7eefd37f75f2; 0001193125-26-277521.</x:v>
      </x:c>
      <x:c r="E134" s="57" t="n">
        <x:f>C134</x:f>
        <x:v>4500000000</x:v>
      </x:c>
      <x:c r="F134" s="40" t="str">
        <x:v>Senior notes</x:v>
      </x:c>
    </x:row>
    <x:row r="135" ht="42" customHeight="1">
      <x:c r="A135" s="40" t="str">
        <x:v>$3,250M, 3.95%, due March 2051</x:v>
      </x:c>
      <x:c r="B135" s="31" t="d">
        <x:v>2051-03-25T00:00:00.000Z</x:v>
      </x:c>
      <x:c r="C135" s="29" t="n">
        <x:v>3250000000</x:v>
      </x:c>
      <x:c r="D135" s="74" t="str">
        <x:v>Carried forward. us-gaap:DebtInstrumentCarryingAmount context C_78c45de9-3a45-4a24-9a9d-682f75245066; maturity context C_120132e4-48c1-40ef-83dd-831bd42b4eb1; 0001193125-26-277521.</x:v>
      </x:c>
      <x:c r="E135" s="57" t="n">
        <x:f>C135</x:f>
        <x:v>3250000000</x:v>
      </x:c>
      <x:c r="F135" s="40" t="str">
        <x:v>Senior notes</x:v>
      </x:c>
    </x:row>
    <x:row r="136" ht="42" customHeight="1">
      <x:c r="A136" s="40" t="str">
        <x:v>$2,500M, 6.90%, due November 2052</x:v>
      </x:c>
      <x:c r="B136" s="31" t="d">
        <x:v>2052-11-09T00:00:00.000Z</x:v>
      </x:c>
      <x:c r="C136" s="29" t="n">
        <x:v>2500000000</x:v>
      </x:c>
      <x:c r="D136" s="74" t="str">
        <x:v>Carried forward. us-gaap:DebtInstrumentCarryingAmount context C_1c2c1ccf-88f9-44b3-bbba-88d5b66222e1; maturity context C_146f6555-e8fd-473f-8010-7c66bd216c1f; 0001193125-26-277521.</x:v>
      </x:c>
      <x:c r="E136" s="57" t="n">
        <x:f>C136</x:f>
        <x:v>2500000000</x:v>
      </x:c>
      <x:c r="F136" s="40" t="str">
        <x:v>Senior notes</x:v>
      </x:c>
    </x:row>
    <x:row r="137" ht="42" customHeight="1">
      <x:c r="A137" s="40" t="str">
        <x:v>$2,250M, 5.55%, due February 2053</x:v>
      </x:c>
      <x:c r="B137" s="31" t="d">
        <x:v>2053-02-28T00:00:00.000Z</x:v>
      </x:c>
      <x:c r="C137" s="29" t="n">
        <x:v>2250000000</x:v>
      </x:c>
      <x:c r="D137" s="74" t="str">
        <x:v>Carried forward. us-gaap:DebtInstrumentCarryingAmount context C_275ee10c-5579-4b7f-9db6-d0c32731214a; maturity context C_62b6d4a9-c2ea-4b4d-b819-f72896383839; 0001193125-26-277521.</x:v>
      </x:c>
      <x:c r="E137" s="57" t="n">
        <x:f>C137</x:f>
        <x:v>2250000000</x:v>
      </x:c>
      <x:c r="F137" s="40" t="str">
        <x:v>Senior notes</x:v>
      </x:c>
    </x:row>
    <x:row r="138" ht="42" customHeight="1">
      <x:c r="A138" s="40" t="str">
        <x:v>$1,750M, 5.375%, due September 2054</x:v>
      </x:c>
      <x:c r="B138" s="31" t="d">
        <x:v>2054-09-27T00:00:00.000Z</x:v>
      </x:c>
      <x:c r="C138" s="29" t="n">
        <x:v>1750000000</x:v>
      </x:c>
      <x:c r="D138" s="74" t="str">
        <x:v>Carried forward. us-gaap:DebtInstrumentCarryingAmount context C_d6db44a5-2cc2-45f8-b9bb-750ce5701802; maturity context C_1a315a33-dba8-456f-82c3-9319c7cd9395; 0001193125-26-277521.</x:v>
      </x:c>
      <x:c r="E138" s="57" t="n">
        <x:f>C138</x:f>
        <x:v>1750000000</x:v>
      </x:c>
      <x:c r="F138" s="40" t="str">
        <x:v>Senior notes</x:v>
      </x:c>
    </x:row>
    <x:row r="139" ht="42" customHeight="1">
      <x:c r="A139" s="40" t="str">
        <x:v>$1,250M, 4.375%, due May 2055</x:v>
      </x:c>
      <x:c r="B139" s="31" t="d">
        <x:v>2055-05-15T00:00:00.000Z</x:v>
      </x:c>
      <x:c r="C139" s="29" t="n">
        <x:v>1250000000</x:v>
      </x:c>
      <x:c r="D139" s="74" t="str">
        <x:v>Carried forward. us-gaap:DebtInstrumentCarryingAmount context C_10f379d0-eecf-4d69-9526-2a2acfd8110f; maturity context C_79912715-0f0b-407c-8bb5-ea595417b273; 0001193125-26-277521.</x:v>
      </x:c>
      <x:c r="E139" s="57" t="n">
        <x:f>C139</x:f>
        <x:v>1250000000</x:v>
      </x:c>
      <x:c r="F139" s="40" t="str">
        <x:v>Senior notes</x:v>
      </x:c>
    </x:row>
    <x:row r="140" ht="42" customHeight="1">
      <x:c r="A140" s="40" t="str">
        <x:v>$1,750M, 6.00%, due August 2055</x:v>
      </x:c>
      <x:c r="B140" s="31" t="d">
        <x:v>2055-08-03T00:00:00.000Z</x:v>
      </x:c>
      <x:c r="C140" s="29" t="n">
        <x:v>1750000000</x:v>
      </x:c>
      <x:c r="D140" s="74" t="str">
        <x:v>Carried forward. us-gaap:DebtInstrumentCarryingAmount context C_6c16cb24-86ff-434f-9d08-118161063c4e; maturity context C_46150084-c548-4ab3-84f5-ffa591c5a25c; 0001193125-26-277521.</x:v>
      </x:c>
      <x:c r="E140" s="57" t="n">
        <x:f>C140</x:f>
        <x:v>1750000000</x:v>
      </x:c>
      <x:c r="F140" s="40" t="str">
        <x:v>Senior notes</x:v>
      </x:c>
    </x:row>
    <x:row r="141" ht="42" customHeight="1">
      <x:c r="A141" s="40" t="str">
        <x:v>$3,500M, 5.95%, due September 2055</x:v>
      </x:c>
      <x:c r="B141" s="31" t="d">
        <x:v>2055-09-26T00:00:00.000Z</x:v>
      </x:c>
      <x:c r="C141" s="29" t="n">
        <x:v>3500000000</x:v>
      </x:c>
      <x:c r="D141" s="74" t="str">
        <x:v>Carried forward. us-gaap:DebtInstrumentCarryingAmount context C_2dd1f035-9a29-4212-8137-0ffb70bc95f9; maturity context C_da3ca40f-780f-4922-894e-76bc8a6687b3; 0001193125-26-277521.</x:v>
      </x:c>
      <x:c r="E141" s="57" t="n">
        <x:f>C141</x:f>
        <x:v>3500000000</x:v>
      </x:c>
      <x:c r="F141" s="40" t="str">
        <x:v>Senior notes</x:v>
      </x:c>
    </x:row>
    <x:row r="142" ht="42" customHeight="1">
      <x:c r="A142" s="40" t="str">
        <x:v>$5,000M, 6.70%, due February 2056</x:v>
      </x:c>
      <x:c r="B142" s="31" t="d">
        <x:v>2056-02-04T00:00:00.000Z</x:v>
      </x:c>
      <x:c r="C142" s="29" t="n">
        <x:v>5000000000</x:v>
      </x:c>
      <x:c r="D142" s="74" t="str">
        <x:v>Carried forward. us-gaap:DebtInstrumentCarryingAmount context C_470c4dd1-b044-4c06-b569-b9f227d4bcc6; maturity context C_17f2b8e7-9a87-429f-8403-253cf5f9c9a8; 0001193125-26-277521.</x:v>
      </x:c>
      <x:c r="E142" s="57" t="n">
        <x:f>C142</x:f>
        <x:v>5000000000</x:v>
      </x:c>
      <x:c r="F142" s="40" t="str">
        <x:v>Senior notes</x:v>
      </x:c>
    </x:row>
    <x:row r="143" ht="42" customHeight="1">
      <x:c r="A143" s="40" t="str">
        <x:v>$3,500M, 3.85%, due April 2060</x:v>
      </x:c>
      <x:c r="B143" s="31" t="d">
        <x:v>2060-04-01T00:00:00.000Z</x:v>
      </x:c>
      <x:c r="C143" s="29" t="n">
        <x:v>3500000000</x:v>
      </x:c>
      <x:c r="D143" s="74" t="str">
        <x:v>Carried forward. us-gaap:DebtInstrumentCarryingAmount context C_72ade28f-8b47-4d01-b51d-ad50b6ab1306; maturity context C_790e7099-f510-4774-a45b-d9e57868a823; 0001193125-26-277521.</x:v>
      </x:c>
      <x:c r="E143" s="57" t="n">
        <x:f>C143</x:f>
        <x:v>3500000000</x:v>
      </x:c>
      <x:c r="F143" s="40" t="str">
        <x:v>Senior notes</x:v>
      </x:c>
    </x:row>
    <x:row r="144" ht="42" customHeight="1">
      <x:c r="A144" s="40" t="str">
        <x:v>$1,500M, 4.10%, due March 2061</x:v>
      </x:c>
      <x:c r="B144" s="31" t="d">
        <x:v>2061-03-25T00:00:00.000Z</x:v>
      </x:c>
      <x:c r="C144" s="29" t="n">
        <x:v>1500000000</x:v>
      </x:c>
      <x:c r="D144" s="74" t="str">
        <x:v>Carried forward. us-gaap:DebtInstrumentCarryingAmount context C_b75cf642-988f-4748-9e3d-32020e3a1e6e; maturity context C_e0ba123f-367d-4f6f-9ffd-691244072749; 0001193125-26-277521.</x:v>
      </x:c>
      <x:c r="E144" s="57" t="n">
        <x:f>C144</x:f>
        <x:v>1500000000</x:v>
      </x:c>
      <x:c r="F144" s="40" t="str">
        <x:v>Senior notes</x:v>
      </x:c>
    </x:row>
    <x:row r="145" ht="42" customHeight="1">
      <x:c r="A145" s="40" t="str">
        <x:v>$1,250M, 5.50%, due September 2064</x:v>
      </x:c>
      <x:c r="B145" s="31" t="d">
        <x:v>2064-09-27T00:00:00.000Z</x:v>
      </x:c>
      <x:c r="C145" s="29" t="n">
        <x:v>1250000000</x:v>
      </x:c>
      <x:c r="D145" s="74" t="str">
        <x:v>Carried forward. us-gaap:DebtInstrumentCarryingAmount context C_0d59a7d6-884c-46a0-8e28-22708f737f7d; maturity context C_64c8ab8d-57ef-492f-be3c-e8912a104b57; 0001193125-26-277521.</x:v>
      </x:c>
      <x:c r="E145" s="57" t="n">
        <x:f>C145</x:f>
        <x:v>1250000000</x:v>
      </x:c>
      <x:c r="F145" s="40" t="str">
        <x:v>Senior notes</x:v>
      </x:c>
    </x:row>
    <x:row r="146" ht="42" customHeight="1">
      <x:c r="A146" s="40" t="str">
        <x:v>$1,000M, 6.125%, due August 2065</x:v>
      </x:c>
      <x:c r="B146" s="31" t="d">
        <x:v>2065-08-03T00:00:00.000Z</x:v>
      </x:c>
      <x:c r="C146" s="29" t="n">
        <x:v>1000000000</x:v>
      </x:c>
      <x:c r="D146" s="74" t="str">
        <x:v>Carried forward. us-gaap:DebtInstrumentCarryingAmount context C_e4423b6e-8f9e-4ed3-b891-83bcb06a00e7; maturity context C_6e18b720-3a24-49ec-95ec-71ab641f6ef4; 0001193125-26-277521.</x:v>
      </x:c>
      <x:c r="E146" s="57" t="n">
        <x:f>C146</x:f>
        <x:v>1000000000</x:v>
      </x:c>
      <x:c r="F146" s="40" t="str">
        <x:v>Senior notes</x:v>
      </x:c>
    </x:row>
    <x:row r="147" ht="42" customHeight="1">
      <x:c r="A147" s="40" t="str">
        <x:v>$2,000M, 6.10%, due September 2065</x:v>
      </x:c>
      <x:c r="B147" s="31" t="d">
        <x:v>2065-09-26T00:00:00.000Z</x:v>
      </x:c>
      <x:c r="C147" s="29" t="n">
        <x:v>2000000000</x:v>
      </x:c>
      <x:c r="D147" s="74" t="str">
        <x:v>Carried forward. us-gaap:DebtInstrumentCarryingAmount context C_b1d66ac5-86bb-48a1-9fd7-0f91b2f20166; maturity context C_943d857f-6e7c-4ab1-9392-17b23efb7b1d; 0001193125-26-277521.</x:v>
      </x:c>
      <x:c r="E147" s="57" t="n">
        <x:f>C147</x:f>
        <x:v>2000000000</x:v>
      </x:c>
      <x:c r="F147" s="40" t="str">
        <x:v>Senior notes</x:v>
      </x:c>
    </x:row>
    <x:row r="148" ht="42" customHeight="1">
      <x:c r="A148" s="40" t="str">
        <x:v>$2,750M, 6.85%, due February 2066</x:v>
      </x:c>
      <x:c r="B148" s="31" t="d">
        <x:v>2066-02-04T00:00:00.000Z</x:v>
      </x:c>
      <x:c r="C148" s="29" t="n">
        <x:v>2750000000</x:v>
      </x:c>
      <x:c r="D148" s="74" t="str">
        <x:v>Carried forward. us-gaap:DebtInstrumentCarryingAmount context C_9d3c0b91-ca57-49e8-bcd6-845c7dd4a592; maturity context C_f8ced8f8-0d46-4063-9333-4d5cc1a62965; 0001193125-26-277521.</x:v>
      </x:c>
      <x:c r="E148" s="57" t="n">
        <x:f>C148</x:f>
        <x:v>2750000000</x:v>
      </x:c>
      <x:c r="F148" s="40" t="str">
        <x:v>Senior notes</x:v>
      </x:c>
    </x:row>
    <x:row r="149" ht="42" customHeight="1">
      <x:c r="A149" s="40" t="str">
        <x:v>$500M, Compounded SOFR plus 0.76%, due August 2028</x:v>
      </x:c>
      <x:c r="B149" s="31" t="d">
        <x:v>2028-08-03T00:00:00.000Z</x:v>
      </x:c>
      <x:c r="C149" s="29" t="n">
        <x:v>500000000</x:v>
      </x:c>
      <x:c r="D149" s="74" t="str">
        <x:v>Carried forward. us-gaap:DebtInstrumentCarryingAmount context C_54708843-a4f7-43fe-9847-c4ee0f1d5918; maturity context C_160561d2-d537-4b08-9c61-e9bf09b0220e; 0001193125-26-277521.</x:v>
      </x:c>
      <x:c r="E149" s="57" t="n">
        <x:f>C149</x:f>
        <x:v>500000000</x:v>
      </x:c>
      <x:c r="F149" s="40" t="str">
        <x:v>Senior notes</x:v>
      </x:c>
    </x:row>
    <x:row r="150" ht="42" customHeight="1">
      <x:c r="A150" s="40" t="str">
        <x:v>$500M, Compounded SOFR plus 1.11%, due February 2029</x:v>
      </x:c>
      <x:c r="B150" s="31" t="d">
        <x:v>2029-02-04T00:00:00.000Z</x:v>
      </x:c>
      <x:c r="C150" s="29" t="n">
        <x:v>500000000</x:v>
      </x:c>
      <x:c r="D150" s="74" t="str">
        <x:v>Carried forward. us-gaap:DebtInstrumentCarryingAmount context C_9811b0d3-b168-4ae6-851d-5a1318806b6f; maturity context C_0baaa79b-3295-410a-8222-728290e56f24; 0001193125-26-277521.</x:v>
      </x:c>
      <x:c r="E150" s="57" t="n">
        <x:f>C150</x:f>
        <x:v>500000000</x:v>
      </x:c>
      <x:c r="F150" s="40" t="str">
        <x:v>Senior notes</x:v>
      </x:c>
    </x:row>
    <x:row r="151" ht="42" customHeight="1">
      <x:c r="A151" s="40" t="str">
        <x:v>Term loan, $5,630M borrowed, SOFR plus 1.35%, due August 2027</x:v>
      </x:c>
      <x:c r="B151" s="31" t="d">
        <x:v>2027-08-16T00:00:00.000Z</x:v>
      </x:c>
      <x:c r="C151" s="29" t="n">
        <x:v>5137000000</x:v>
      </x:c>
      <x:c r="D151" s="74" t="str">
        <x:v>Calculated. us-gaap:DebtInstrumentCarryingAmount context C_735501c9-1d1a-4130-ba00-a733b80c0778; maturity context C_9e0297a1-5ed4-45fd-ad02-62d67decad58; 0001193125-26-277521.</x:v>
      </x:c>
      <x:c r="E151" s="57" t="n">
        <x:f>C91</x:f>
        <x:v>5067000000</x:v>
      </x:c>
      <x:c r="F151" s="40" t="str">
        <x:v>Term loan</x:v>
      </x:c>
    </x:row>
    <x:row r="152" ht="42" customHeight="1">
      <x:c r="A152" s="40" t="str">
        <x:v>Commercial paper notes</x:v>
      </x:c>
      <x:c r="C152" s="29" t="n">
        <x:v>1468000000</x:v>
      </x:c>
      <x:c r="D152" s="74" t="str">
        <x:v>Unavailable at August 31: no balance or maturity dates reported. Unavailable. us-gaap:DebtInstrumentCarryingAmount context C_1acf7181-6e63-4dc3-9576-4189cc4bc531; 0001193125-26-277521.</x:v>
      </x:c>
      <x:c r="F152" s="40" t="str">
        <x:v>Commercial paper</x:v>
      </x:c>
    </x:row>
    <x:row r="153" ht="18" customHeight="1">
      <x:c r="A153" s="72" t="str">
        <x:v>Source: https://www.sec.gov/Archives/edgar/data/1341439/000119312526277521/orcl-20260531.htm</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USD instant at the balance-sheet date, from the latest original 10-K or 10-Q itself</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USD instant at the balance-sheet date, from the latest original 10-K or 10-Q itself</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prefixed tag; exact stated instant; USD; no dimensions; agreeing duplicates.</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prefixed tag; exact stated instant; USD; no dimensions; agreeing duplicates.</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prefixed tag; exact stated instant; USD; no dimensions; agreeing duplicates.</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prefixed tag; exact stated instant; USD; no dimensions; agreeing duplicates.</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prefixed tag; exact stated instant; USD; no dimensions; agreeing duplicates.</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prefixed tag; exact stated instant; USD; no dimensions; agreeing duplicates.</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prefixed tag; exact stated instant; USD; no dimensions; agreeing duplicates.</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row r="128" ht="70" customHeight="1">
      <x:c r="A128" s="13" t="str">
        <x:v>Key</x:v>
      </x:c>
      <x:c r="B128" s="219" t="str">
        <x:v>USD millions unless x</x:v>
      </x:c>
      <x:c r="C128" s="219" t="str">
        <x:v>Reported input</x:v>
      </x:c>
      <x:c r="D128" s="219" t="str">
        <x:v>Period start</x:v>
      </x:c>
      <x:c r="E128" s="219" t="str">
        <x:v>Period end / as of</x:v>
      </x:c>
      <x:c r="F128" s="219" t="str">
        <x:v>Form</x:v>
      </x:c>
      <x:c r="G128" s="219" t="str">
        <x:v>Filed</x:v>
      </x:c>
      <x:c r="H128" s="219" t="str">
        <x:v>Accession</x:v>
      </x:c>
      <x:c r="I128" s="219" t="str">
        <x:v>Tag</x:v>
      </x:c>
      <x:c r="J128" s="219" t="str">
        <x:v>Context ID</x:v>
      </x:c>
      <x:c r="K128" s="219" t="str">
        <x:v>Scale</x:v>
      </x:c>
      <x:c r="L128" s="219" t="str">
        <x:v>Decimals</x:v>
      </x:c>
      <x:c r="M128" s="219" t="str">
        <x:v>Source</x:v>
      </x:c>
      <x:c r="N128" s="219" t="str">
        <x:v>Filing location</x:v>
      </x:c>
      <x:c r="O128" s="219" t="str">
        <x:v>Finding / Unavailable reason</x:v>
      </x:c>
      <x:c r="P128" s="219" t="str">
        <x:v>Dimensions</x:v>
      </x:c>
      <x:c r="Q128" s="219" t="str">
        <x:v>Reviewed source SHA256</x:v>
      </x:c>
      <x:c r="R128" s="14" t="str">
        <x:v>Unit and selection rule</x:v>
      </x:c>
    </x:row>
    <x:row r="129" ht="70" customHeight="1">
      <x:c r="A129" s="25" t="str">
        <x:v>Cash and cash equivalents</x:v>
      </x:c>
      <x:c r="B129" s="227" t="n">
        <x:v>31289000000</x:v>
      </x:c>
      <x:c r="C129" s="205" t="str">
        <x:v>Cash and cash equivalents</x:v>
      </x:c>
      <x:c r="D129" s="228"/>
      <x:c r="E129" s="228" t="d">
        <x:v>2026-05-31T00:00:00.000Z</x:v>
      </x:c>
      <x:c r="F129" s="205" t="str">
        <x:v>10-K</x:v>
      </x:c>
      <x:c r="G129" s="228" t="d">
        <x:v>2026-06-22T00:00:00.000Z</x:v>
      </x:c>
      <x:c r="H129" s="205" t="str">
        <x:v>0001193125-26-277521</x:v>
      </x:c>
      <x:c r="I129" s="205" t="str">
        <x:v>us-gaap:CashAndCashEquivalentsAtCarryingValue</x:v>
      </x:c>
      <x:c r="J129" s="205" t="str">
        <x:v>C_f62bade6-47e1-4441-9bb3-1e534300c2f2</x:v>
      </x:c>
      <x:c r="K129" s="205" t="n">
        <x:v>6</x:v>
      </x:c>
      <x:c r="L129" s="205" t="str">
        <x:v>-6</x:v>
      </x:c>
      <x:c r="M129" s="205" t="str">
        <x:v>https://www.sec.gov/Archives/edgar/data/1341439/000119312526277521/orcl-20260531.htm</x:v>
      </x:c>
      <x:c r="N129" s="205" t="str">
        <x:v>10-K balance sheet p. 64; cash/restricted cash policy p. 70</x:v>
      </x:c>
      <x:c r="O129" s="205" t="str">
        <x:v>USD instant at the balance-sheet date, from the latest original 10-K or 10-Q itself</x:v>
      </x:c>
      <x:c r="P129" s="205" t="str">
        <x:v>[]</x:v>
      </x:c>
      <x:c r="Q129" s="205" t="str">
        <x:v>61a353e222f961e516bb3e8eed024a5245cfadbf30e3cc16a4a520129f1bdf63</x:v>
      </x:c>
      <x:c r="R129" s="16" t="str">
        <x:v>USD</x:v>
      </x:c>
    </x:row>
    <x:row r="130" ht="70" customHeight="1">
      <x:c r="A130" s="25" t="str">
        <x:v>Current assets</x:v>
      </x:c>
      <x:c r="B130" s="227" t="n">
        <x:v>46567000000</x:v>
      </x:c>
      <x:c r="C130" s="205" t="str">
        <x:v>Current assets</x:v>
      </x:c>
      <x:c r="D130" s="228"/>
      <x:c r="E130" s="228" t="d">
        <x:v>2026-05-31T00:00:00.000Z</x:v>
      </x:c>
      <x:c r="F130" s="205" t="str">
        <x:v>10-K</x:v>
      </x:c>
      <x:c r="G130" s="228" t="d">
        <x:v>2026-06-22T00:00:00.000Z</x:v>
      </x:c>
      <x:c r="H130" s="205" t="str">
        <x:v>0001193125-26-277521</x:v>
      </x:c>
      <x:c r="I130" s="205" t="str">
        <x:v>us-gaap:AssetsCurrent</x:v>
      </x:c>
      <x:c r="J130" s="205" t="str">
        <x:v>C_f62bade6-47e1-4441-9bb3-1e534300c2f2</x:v>
      </x:c>
      <x:c r="K130" s="205" t="n">
        <x:v>6</x:v>
      </x:c>
      <x:c r="L130" s="205" t="str">
        <x:v>-6</x:v>
      </x:c>
      <x:c r="M130" s="205" t="str">
        <x:v>https://www.sec.gov/Archives/edgar/data/1341439/000119312526277521/orcl-20260531.htm</x:v>
      </x:c>
      <x:c r="N130" s="205" t="str">
        <x:v>10-K balance sheet p. 64; cash/restricted cash policy p. 70</x:v>
      </x:c>
      <x:c r="O130" s="205" t="str">
        <x:v>USD instant at the balance-sheet date, from the latest original 10-K or 10-Q itself</x:v>
      </x:c>
      <x:c r="P130" s="205" t="str">
        <x:v>[]</x:v>
      </x:c>
      <x:c r="Q130" s="205" t="str">
        <x:v>61a353e222f961e516bb3e8eed024a5245cfadbf30e3cc16a4a520129f1bdf63</x:v>
      </x:c>
      <x:c r="R130" s="16" t="str">
        <x:v>USD</x:v>
      </x:c>
    </x:row>
    <x:row r="131" ht="70" customHeight="1">
      <x:c r="A131" s="25" t="str">
        <x:v>Current liabilities</x:v>
      </x:c>
      <x:c r="B131" s="227" t="n">
        <x:v>41764000000</x:v>
      </x:c>
      <x:c r="C131" s="205" t="str">
        <x:v>Current liabilities</x:v>
      </x:c>
      <x:c r="D131" s="228"/>
      <x:c r="E131" s="228" t="d">
        <x:v>2026-05-31T00:00:00.000Z</x:v>
      </x:c>
      <x:c r="F131" s="205" t="str">
        <x:v>10-K</x:v>
      </x:c>
      <x:c r="G131" s="228" t="d">
        <x:v>2026-06-22T00:00:00.000Z</x:v>
      </x:c>
      <x:c r="H131" s="205" t="str">
        <x:v>0001193125-26-277521</x:v>
      </x:c>
      <x:c r="I131" s="205" t="str">
        <x:v>us-gaap:LiabilitiesCurrent</x:v>
      </x:c>
      <x:c r="J131" s="205" t="str">
        <x:v>C_f62bade6-47e1-4441-9bb3-1e534300c2f2</x:v>
      </x:c>
      <x:c r="K131" s="205" t="n">
        <x:v>6</x:v>
      </x:c>
      <x:c r="L131" s="205" t="str">
        <x:v>-6</x:v>
      </x:c>
      <x:c r="M131" s="205" t="str">
        <x:v>https://www.sec.gov/Archives/edgar/data/1341439/000119312526277521/orcl-20260531.htm</x:v>
      </x:c>
      <x:c r="N131" s="205" t="str">
        <x:v>10-K balance sheet p. 64; cash/restricted cash policy p. 70</x:v>
      </x:c>
      <x:c r="O131" s="205" t="str">
        <x:v>USD instant at the balance-sheet date, from the latest original 10-K or 10-Q itself</x:v>
      </x:c>
      <x:c r="P131" s="205" t="str">
        <x:v>[]</x:v>
      </x:c>
      <x:c r="Q131" s="205" t="str">
        <x:v>61a353e222f961e516bb3e8eed024a5245cfadbf30e3cc16a4a520129f1bdf63</x:v>
      </x:c>
      <x:c r="R131" s="16" t="str">
        <x:v>USD</x:v>
      </x:c>
    </x:row>
    <x:row r="132" ht="70" customHeight="1">
      <x:c r="A132" s="25" t="str">
        <x:v>Notes payable and other borrowings, current</x:v>
      </x:c>
      <x:c r="B132" s="227" t="n">
        <x:v>7199000000</x:v>
      </x:c>
      <x:c r="C132" s="205" t="str">
        <x:v>Notes payable and other borrowings, current</x:v>
      </x:c>
      <x:c r="D132" s="228"/>
      <x:c r="E132" s="228" t="d">
        <x:v>2026-05-31T00:00:00.000Z</x:v>
      </x:c>
      <x:c r="F132" s="205" t="str">
        <x:v>10-K</x:v>
      </x:c>
      <x:c r="G132" s="228" t="d">
        <x:v>2026-06-22T00:00:00.000Z</x:v>
      </x:c>
      <x:c r="H132" s="205" t="str">
        <x:v>0001193125-26-277521</x:v>
      </x:c>
      <x:c r="I132" s="205" t="str">
        <x:v>us-gaap:NotesPayableCurrent</x:v>
      </x:c>
      <x:c r="J132" s="205" t="str">
        <x:v>C_f62bade6-47e1-4441-9bb3-1e534300c2f2</x:v>
      </x:c>
      <x:c r="K132" s="205" t="n">
        <x:v>6</x:v>
      </x:c>
      <x:c r="L132" s="205" t="str">
        <x:v>-6</x:v>
      </x:c>
      <x:c r="M132" s="205" t="str">
        <x:v>https://www.sec.gov/Archives/edgar/data/1341439/000119312526277521/orcl-20260531.htm</x:v>
      </x:c>
      <x:c r="N132" s="205" t="str">
        <x:v>10-K balance sheet p. 64; cash/restricted cash policy p. 70</x:v>
      </x:c>
      <x:c r="O132" s="205" t="str">
        <x:v>USD instant at the balance-sheet date, from the latest original 10-K or 10-Q itself</x:v>
      </x:c>
      <x:c r="P132" s="205" t="str">
        <x:v>[]</x:v>
      </x:c>
      <x:c r="Q132" s="205" t="str">
        <x:v>61a353e222f961e516bb3e8eed024a5245cfadbf30e3cc16a4a520129f1bdf63</x:v>
      </x:c>
      <x:c r="R132" s="16" t="str">
        <x:v>USD</x:v>
      </x:c>
    </x:row>
    <x:row r="133" ht="70" customHeight="1">
      <x:c r="A133" s="25" t="str">
        <x:v>Notes payable and other borrowings, non-current</x:v>
      </x:c>
      <x:c r="B133" s="227" t="n">
        <x:v>122342000000</x:v>
      </x:c>
      <x:c r="C133" s="205" t="str">
        <x:v>Notes payable and other borrowings, non-current</x:v>
      </x:c>
      <x:c r="D133" s="228"/>
      <x:c r="E133" s="228" t="d">
        <x:v>2026-05-31T00:00:00.000Z</x:v>
      </x:c>
      <x:c r="F133" s="205" t="str">
        <x:v>10-K</x:v>
      </x:c>
      <x:c r="G133" s="228" t="d">
        <x:v>2026-06-22T00:00:00.000Z</x:v>
      </x:c>
      <x:c r="H133" s="205" t="str">
        <x:v>0001193125-26-277521</x:v>
      </x:c>
      <x:c r="I133" s="205" t="str">
        <x:v>us-gaap:LongTermNotesAndLoans</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x:v>
      </x:c>
      <x:c r="Q133" s="205" t="str">
        <x:v>61a353e222f961e516bb3e8eed024a5245cfadbf30e3cc16a4a520129f1bdf63</x:v>
      </x:c>
      <x:c r="R133" s="16" t="str">
        <x:v>USD</x:v>
      </x:c>
    </x:row>
    <x:row r="134" ht="70" customHeight="1">
      <x:c r="A134" s="25" t="str">
        <x:v>Operating cash flow · fiscal year</x:v>
      </x:c>
      <x:c r="B134" s="227" t="n">
        <x:v>31977000000</x:v>
      </x:c>
      <x:c r="C134" s="205" t="str">
        <x:v>Operating cash flow · fiscal year</x:v>
      </x:c>
      <x:c r="D134" s="228" t="d">
        <x:v>2025-06-01T00:00:00.000Z</x:v>
      </x:c>
      <x:c r="E134" s="228" t="d">
        <x:v>2026-05-31T00:00:00.000Z</x:v>
      </x:c>
      <x:c r="F134" s="205" t="str">
        <x:v>10-K</x:v>
      </x:c>
      <x:c r="G134" s="228" t="d">
        <x:v>2026-06-22T00:00:00.000Z</x:v>
      </x:c>
      <x:c r="H134" s="205" t="str">
        <x:v>0001193125-26-277521</x:v>
      </x:c>
      <x:c r="I134" s="205" t="str">
        <x:v>us-gaap:NetCashProvidedByUsedInOperatingActivities</x:v>
      </x:c>
      <x:c r="J134" s="205" t="str">
        <x:v>C_24317829-d237-4c29-bae3-2e46dd1ae625</x:v>
      </x:c>
      <x:c r="K134" s="205" t="n">
        <x:v>6</x:v>
      </x:c>
      <x:c r="L134" s="205" t="str">
        <x:v>-6</x:v>
      </x:c>
      <x:c r="M134" s="205" t="str">
        <x:v>https://www.sec.gov/Archives/edgar/data/1341439/000119312526277521/orcl-20260531.htm</x:v>
      </x:c>
      <x:c r="N134" s="205" t="str">
        <x:v>Annual cash-flow statement</x:v>
      </x:c>
      <x:c r="O134" s="205" t="str">
        <x:v>Exact tag, USD duration, exact start and end dates, no dimensions</x:v>
      </x:c>
      <x:c r="P134" s="205" t="str">
        <x:v>[]</x:v>
      </x:c>
      <x:c r="Q134" s="205" t="str"/>
      <x:c r="R134" s="16" t="str">
        <x:v>USD</x:v>
      </x:c>
    </x:row>
    <x:row r="135" ht="70" customHeight="1">
      <x:c r="A135" s="26" t="str">
        <x:v>Capital expenditures · fiscal year</x:v>
      </x:c>
      <x:c r="B135" s="229" t="n">
        <x:v>55663000000</x:v>
      </x:c>
      <x:c r="C135" s="206" t="str">
        <x:v>Capital expenditures · fiscal year</x:v>
      </x:c>
      <x:c r="D135" s="230" t="d">
        <x:v>2025-06-01T00:00:00.000Z</x:v>
      </x:c>
      <x:c r="E135" s="230" t="d">
        <x:v>2026-05-31T00:00:00.000Z</x:v>
      </x:c>
      <x:c r="F135" s="206" t="str">
        <x:v>10-K</x:v>
      </x:c>
      <x:c r="G135" s="230" t="d">
        <x:v>2026-06-22T00:00:00.000Z</x:v>
      </x:c>
      <x:c r="H135" s="206" t="str">
        <x:v>0001193125-26-277521</x:v>
      </x:c>
      <x:c r="I135" s="206" t="str">
        <x:v>us-gaap:PaymentsToAcquirePropertyPlantAndEquipment</x:v>
      </x:c>
      <x:c r="J135" s="206" t="str">
        <x:v>C_24317829-d237-4c29-bae3-2e46dd1ae625</x:v>
      </x:c>
      <x:c r="K135" s="206" t="n">
        <x:v>6</x:v>
      </x:c>
      <x:c r="L135" s="206" t="str">
        <x:v>-6</x:v>
      </x:c>
      <x:c r="M135" s="206" t="str">
        <x:v>https://www.sec.gov/Archives/edgar/data/1341439/000119312526277521/orcl-20260531.htm</x:v>
      </x:c>
      <x:c r="N135" s="206" t="str">
        <x:v>Annual cash-flow statement</x:v>
      </x:c>
      <x:c r="O135" s="206" t="str">
        <x:v>Exact tag, USD duration, exact start and end dates, no dimensions</x:v>
      </x:c>
      <x:c r="P135" s="206" t="str">
        <x:v>[]</x:v>
      </x:c>
      <x:c r="Q135" s="206" t="str"/>
      <x:c r="R135" s="18" t="str">
        <x:v>USD</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row r="24" ht="70" customHeight="1">
      <x:c r="A24" s="305" t="str">
        <x:v>History</x:v>
      </x:c>
      <x:c r="B24" s="306" t="str">
        <x:v>Two dated observations per company. Fiscal-year and TTM flows are overlapping twelve-month windows. Unsupported older Vistra borrowing and dependent ratios remain Unavailable.</x:v>
      </x:c>
      <x:c r="C24" s="307" t="str">
        <x:v>https://github.com/jackconnolly1000-ux/sec-filing-research-terminal/blob/main/docs/company_history.md</x:v>
      </x:c>
    </x:row>
    <x:row r="25" ht="70" customHeight="1">
      <x:c r="A25" s="305" t="str">
        <x:v>Core charts</x:v>
      </x:c>
      <x:c r="B25" s="306" t="str">
        <x:v>Two native charts link to Debt and liquidity and History. Signed capital spending is a use; FCF is the result. Unsupported older Vistra borrowing is omitted, never plotted as zero.</x:v>
      </x:c>
      <x:c r="C25" s="307" t="str">
        <x:v>https://github.com/jackconnolly1000-ux/sec-filing-research-terminal/blob/main/docs/core_charts.md</x:v>
      </x:c>
    </x:row>
    <x:row r="26" ht="76" customHeight="1">
      <x:c r="A26" s="305" t="str">
        <x:v>Workbook guide</x:v>
      </x:c>
      <x:c r="B26" s="306" t="str">
        <x:v>The first sheet lists all workbook tabs and their questions. Core metrics, dated history and common charts agree with the app. URLs remain full, copyable source text. Native hyperlink actions are not authored by this spreadsheet runtime.</x:v>
      </x:c>
      <x:c r="C26" s="307" t="str">
        <x:v>https://github.com/jackconnolly1000-ux/sec-filing-research-terminal/blob/main/docs/excel_parity.md</x:v>
      </x:c>
    </x:row>
  </x:sheetData>
  <x:pageMargins left="0.7" right="0.7" top="0.75" bottom="0.75" header="0.3" footer="0.3"/>
</x:worksheet>
</file>