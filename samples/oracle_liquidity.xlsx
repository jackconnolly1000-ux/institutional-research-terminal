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91d679eb8424c0d" /></Relationships>
</file>

<file path=xl/workbook.xml><?xml version="1.0" encoding="utf-8"?>
<x:workbook xmlns:x="http://schemas.openxmlformats.org/spreadsheetml/2006/main">
  <x:sheets>
    <x:sheet xmlns:r="http://schemas.openxmlformats.org/officeDocument/2006/relationships" name="Funding conclusion" sheetId="1" r:id="Ra33e069244d4473e"/>
    <x:sheet xmlns:r="http://schemas.openxmlformats.org/officeDocument/2006/relationships" name="Borrowing and leases" sheetId="2" r:id="Ra5bec4d69ccb4e75"/>
    <x:sheet xmlns:r="http://schemas.openxmlformats.org/officeDocument/2006/relationships" name="Debt and liquidity" sheetId="3" r:id="Ra3a94f59c47a485e"/>
    <x:sheet xmlns:r="http://schemas.openxmlformats.org/officeDocument/2006/relationships" name="History" sheetId="4" r:id="R18aa3341372346c5"/>
    <x:sheet xmlns:r="http://schemas.openxmlformats.org/officeDocument/2006/relationships" name="Core charts" sheetId="5" r:id="R0427e5c18a244b0c"/>
    <x:sheet xmlns:r="http://schemas.openxmlformats.org/officeDocument/2006/relationships" name="Repayment review" sheetId="6" r:id="Rcc3c33cc0e694c4c"/>
    <x:sheet xmlns:r="http://schemas.openxmlformats.org/officeDocument/2006/relationships" name="Cash analysis" sheetId="7" r:id="Rc4d83923e25a45a0"/>
    <x:sheet xmlns:r="http://schemas.openxmlformats.org/officeDocument/2006/relationships" name="Payment dates" sheetId="8" r:id="Rcccb4df059f14315"/>
    <x:sheet xmlns:r="http://schemas.openxmlformats.org/officeDocument/2006/relationships" name="Data" sheetId="9" r:id="Ra4d7f6d05de24420"/>
    <x:sheet xmlns:r="http://schemas.openxmlformats.org/officeDocument/2006/relationships" name="About" sheetId="10" r:id="R990186929e7145d6"/>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0&quot;x&quot;"/>
    <x:numFmt numFmtId="201" formatCode="#,##0,,;(#,##0,,);&quot;-&quot;"/>
    <x:numFmt numFmtId="202" formatCode="0.0&quot;x&quot;"/>
    <x:numFmt numFmtId="203" formatCode="mmm d, yyyy"/>
    <x:numFmt numFmtId="204" formatCode="0.0%"/>
    <x:numFmt numFmtId="205" formatCode="#,##0.00,,;(#,##0.00,,);&quot;-&quot;"/>
    <x:numFmt numFmtId="206" formatCode="#,##0.00,,;(#,##0.00,,);0.00"/>
  </x:numFmts>
  <x:fonts count="22">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8000"/>
      <x:name val="Arial"/>
    </x:font>
    <x:font>
      <x:sz val="10"/>
      <x:color rgb="FF008000"/>
      <x:name val="Arial"/>
    </x:font>
    <x:font>
      <x:sz val="11"/>
      <x:color rgb="FF0000FF"/>
      <x:name val="Arial"/>
    </x:font>
    <x:font>
      <x:sz val="10"/>
      <x:color rgb="FF0000FF"/>
      <x:name val="Arial"/>
    </x:font>
    <x:font>
      <x:b/>
      <x:sz val="10"/>
      <x:color rgb="FF008000"/>
      <x:name val="Arial"/>
    </x:font>
    <x:font>
      <x:sz val="10"/>
      <x:color rgb="FF000000"/>
      <x:name val="Arial"/>
    </x:font>
    <x:font>
      <x:b/>
      <x:i/>
      <x:sz val="10"/>
      <x:name val="Arial"/>
    </x:font>
    <x:font>
      <x:b/>
      <x:sz val="10"/>
      <x:color rgb="FF000000"/>
      <x:name val="Arial"/>
    </x:font>
    <x:font>
      <x:b/>
      <x:sz val="11"/>
      <x:name val="Carlito"/>
    </x:font>
    <x:font>
      <x:b/>
      <x:sz val="14"/>
      <x:name val="Carlito"/>
    </x:font>
    <x:font>
      <x:sz val="11"/>
      <x:color rgb="FF000000"/>
      <x:name val="Carlito"/>
    </x:font>
    <x:font>
      <x:sz val="11"/>
      <x:color rgb="FF000000"/>
      <x:name val="Arial"/>
    </x:font>
    <x:font>
      <x:sz val="10"/>
      <x:name val="Arial"/>
    </x:font>
  </x:fonts>
  <x:fills count="3">
    <x:fill>
      <x:patternFill patternType="none"/>
    </x:fill>
    <x:fill>
      <x:patternFill patternType="gray125"/>
    </x:fill>
    <x:fill>
      <x:patternFill patternType="solid">
        <x:fgColor rgb="FFF0F2F5"/>
      </x:patternFill>
    </x:fill>
  </x:fills>
  <x:borders count="23">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312">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x:xf numFmtId="201" fontId="7" fillId="0" borderId="0" xfId="0" applyNumberFormat="1" applyFont="1" applyFill="1" applyBorder="1"/>
    <x:xf numFmtId="202" fontId="7"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204" fontId="0" fillId="0" borderId="0" xfId="0" applyNumberFormat="1" applyFont="1" applyFill="1" applyBorder="1"/>
    <x:xf numFmtId="205" fontId="0" fillId="0" borderId="0" xfId="0" applyNumberFormat="1" applyFont="1" applyFill="1" applyBorder="1"/>
    <x:xf numFmtId="202" fontId="8" fillId="0" borderId="0" xfId="0" applyNumberFormat="1" applyFont="1" applyFill="1" applyBorder="1"/>
    <x:xf numFmtId="203" fontId="1" fillId="0" borderId="0" xfId="0" applyNumberFormat="1" applyFont="1" applyFill="1" applyBorder="1"/>
    <x:xf numFmtId="203" fontId="2" fillId="0" borderId="0" xfId="0" applyNumberFormat="1" applyFont="1" applyFill="1" applyBorder="1"/>
    <x:xf numFmtId="0" fontId="2" fillId="0" borderId="0" xfId="0" applyNumberFormat="1" applyFont="1" applyFill="1" applyBorder="1" applyAlignment="1">
      <x:alignment vertical="center"/>
    </x:xf>
    <x:xf numFmtId="203"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203" fontId="2" fillId="0" borderId="0" xfId="0" applyNumberFormat="1" applyFont="1" applyFill="1" applyBorder="1" applyAlignment="1">
      <x:alignment vertical="center" wrapText="0"/>
    </x:xf>
    <x:xf numFmtId="0" fontId="9" fillId="0" borderId="0" xfId="0" applyNumberFormat="1" applyFont="1" applyFill="1" applyBorder="1"/>
    <x:xf numFmtId="205" fontId="1" fillId="0" borderId="0" xfId="0" applyNumberFormat="1" applyFont="1" applyFill="1" applyBorder="1"/>
    <x:xf numFmtId="204" fontId="1" fillId="0" borderId="0" xfId="0" applyNumberFormat="1" applyFont="1" applyFill="1" applyBorder="1"/>
    <x:xf numFmtId="201" fontId="1" fillId="0" borderId="0" xfId="0" applyNumberFormat="1" applyFont="1" applyFill="1" applyBorder="1"/>
    <x:xf numFmtId="0" fontId="10" fillId="0" borderId="0" xfId="0" applyNumberFormat="1" applyFont="1" applyFill="1" applyBorder="1"/>
    <x:xf numFmtId="205" fontId="2" fillId="0" borderId="0" xfId="0" applyNumberFormat="1" applyFont="1" applyFill="1" applyBorder="1"/>
    <x:xf numFmtId="204" fontId="2" fillId="0" borderId="0" xfId="0" applyNumberFormat="1" applyFont="1" applyFill="1" applyBorder="1"/>
    <x:xf numFmtId="201" fontId="2" fillId="0" borderId="0" xfId="0" applyNumberFormat="1" applyFont="1" applyFill="1" applyBorder="1"/>
    <x:xf numFmtId="0" fontId="10" fillId="0" borderId="0" xfId="0" applyNumberFormat="1" applyFont="1" applyFill="1" applyBorder="1" applyAlignment="1">
      <x:alignment vertical="center"/>
    </x:xf>
    <x:xf numFmtId="205" fontId="2" fillId="0" borderId="0" xfId="0" applyNumberFormat="1" applyFont="1" applyFill="1" applyBorder="1" applyAlignment="1">
      <x:alignment vertical="center"/>
    </x:xf>
    <x:xf numFmtId="204" fontId="2" fillId="0" borderId="0" xfId="0" applyNumberFormat="1" applyFont="1" applyFill="1" applyBorder="1" applyAlignment="1">
      <x:alignment vertical="center"/>
    </x:xf>
    <x:xf numFmtId="201" fontId="2" fillId="0" borderId="0" xfId="0" applyNumberFormat="1" applyFont="1" applyFill="1" applyBorder="1" applyAlignment="1">
      <x:alignment vertical="center"/>
    </x:xf>
    <x:xf numFmtId="0" fontId="10" fillId="0" borderId="0" xfId="0" applyNumberFormat="1" applyFont="1" applyFill="1" applyBorder="1" applyAlignment="1">
      <x:alignment vertical="center" wrapText="0"/>
    </x:xf>
    <x:xf numFmtId="205" fontId="2" fillId="0" borderId="0" xfId="0" applyNumberFormat="1" applyFont="1" applyFill="1" applyBorder="1" applyAlignment="1">
      <x:alignment vertical="center" wrapText="0"/>
    </x:xf>
    <x:xf numFmtId="204" fontId="2"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202" fontId="9" fillId="0" borderId="0" xfId="0" applyNumberFormat="1" applyFont="1" applyFill="1" applyBorder="1"/>
    <x:xf numFmtId="202" fontId="10" fillId="0" borderId="0" xfId="0" applyNumberFormat="1" applyFont="1" applyFill="1" applyBorder="1"/>
    <x:xf numFmtId="202" fontId="10" fillId="0" borderId="0" xfId="0" applyNumberFormat="1" applyFont="1" applyFill="1" applyBorder="1" applyAlignment="1">
      <x:alignment vertical="center"/>
    </x:xf>
    <x:xf numFmtId="202" fontId="10" fillId="0" borderId="0" xfId="0" applyNumberFormat="1" applyFont="1" applyFill="1" applyBorder="1" applyAlignment="1">
      <x:alignment vertical="center" wrapText="0"/>
    </x:xf>
    <x:xf numFmtId="201" fontId="11" fillId="0" borderId="0" xfId="0" applyNumberFormat="1" applyFont="1" applyFill="1" applyBorder="1"/>
    <x:xf numFmtId="202" fontId="11" fillId="0" borderId="0" xfId="0" applyNumberFormat="1" applyFont="1" applyFill="1" applyBorder="1"/>
    <x:xf numFmtId="201" fontId="12" fillId="0" borderId="0" xfId="0" applyNumberFormat="1" applyFont="1" applyFill="1" applyBorder="1"/>
    <x:xf numFmtId="202" fontId="12" fillId="0" borderId="0" xfId="0" applyNumberFormat="1" applyFont="1" applyFill="1" applyBorder="1"/>
    <x:xf numFmtId="201" fontId="12" fillId="0" borderId="0" xfId="0" applyNumberFormat="1" applyFont="1" applyFill="1" applyBorder="1" applyAlignment="1">
      <x:alignment vertical="center"/>
    </x:xf>
    <x:xf numFmtId="202" fontId="12" fillId="0" borderId="0" xfId="0" applyNumberFormat="1" applyFont="1" applyFill="1" applyBorder="1" applyAlignment="1">
      <x:alignment vertical="center"/>
    </x:xf>
    <x:xf numFmtId="201" fontId="12" fillId="0" borderId="0" xfId="0" applyNumberFormat="1" applyFont="1" applyFill="1" applyBorder="1" applyAlignment="1">
      <x:alignment vertical="center" wrapText="0"/>
    </x:xf>
    <x:xf numFmtId="202" fontId="12"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10" fillId="0" borderId="0" xfId="0" applyNumberFormat="1" applyFont="1" applyFill="1" applyBorder="1" applyAlignment="1">
      <x:alignment vertical="center" wrapText="0"/>
    </x:xf>
    <x:xf numFmtId="0" fontId="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0" fontId="3" fillId="0" borderId="8" xfId="0" applyNumberFormat="1" applyFont="1" applyFill="1" applyBorder="1" applyAlignment="1">
      <x:alignment vertical="center" wrapText="0"/>
    </x:xf>
    <x:xf numFmtId="201" fontId="3"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1"/>
    </x:xf>
    <x:xf numFmtId="201" fontId="3" fillId="0" borderId="8" xfId="0" applyNumberFormat="1" applyFont="1" applyFill="1" applyBorder="1" applyAlignment="1">
      <x:alignment vertical="center" wrapText="0"/>
    </x:xf>
    <x:xf numFmtId="0" fontId="3" fillId="0" borderId="8" xfId="0" applyNumberFormat="1" applyFont="1" applyFill="1" applyBorder="1" applyAlignment="1">
      <x:alignment vertical="center" wrapText="1"/>
    </x:xf>
    <x:xf numFmtId="201" fontId="13"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1"/>
    </x:xf>
    <x:xf numFmtId="201" fontId="12" fillId="0" borderId="0" xfId="0" applyNumberFormat="1" applyFont="1" applyFill="1" applyBorder="1" applyAlignment="1">
      <x:alignment vertical="center" wrapText="1"/>
    </x:xf>
    <x:xf numFmtId="203" fontId="2" fillId="0" borderId="0" xfId="0" applyNumberFormat="1" applyFont="1" applyFill="1" applyBorder="1" applyAlignment="1">
      <x:alignment vertical="center" wrapText="1"/>
    </x:xf>
    <x:xf numFmtId="202" fontId="12"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1" fontId="10" fillId="0" borderId="5" xfId="0" applyNumberFormat="1" applyFont="1" applyFill="1" applyBorder="1" applyAlignment="1">
      <x:alignment vertical="center" wrapText="0"/>
    </x:xf>
    <x:xf numFmtId="201" fontId="2" fillId="0" borderId="5" xfId="0" applyNumberFormat="1" applyFont="1" applyFill="1" applyBorder="1" applyAlignment="1">
      <x:alignment vertical="center" wrapText="0"/>
    </x:xf>
    <x:xf numFmtId="0" fontId="3" fillId="0" borderId="4" xfId="0" applyNumberFormat="1" applyFont="1" applyFill="1" applyBorder="1" applyAlignment="1">
      <x:alignment vertical="center" wrapText="1"/>
    </x:xf>
    <x:xf numFmtId="201" fontId="3"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1"/>
    </x:xf>
    <x:xf numFmtId="201" fontId="3"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201" fontId="10" fillId="0" borderId="12" xfId="0" applyNumberFormat="1" applyFont="1" applyFill="1" applyBorder="1" applyAlignment="1">
      <x:alignment vertical="center" wrapText="0"/>
    </x:xf>
    <x:xf numFmtId="206" fontId="2"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1"/>
    </x:xf>
    <x:xf numFmtId="206" fontId="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201" fontId="3" fillId="0" borderId="12" xfId="0" applyNumberFormat="1" applyFont="1" applyFill="1" applyBorder="1" applyAlignment="1">
      <x:alignment vertical="center" wrapText="0"/>
    </x:xf>
    <x:xf numFmtId="204" fontId="2" fillId="0" borderId="7" xfId="0" applyNumberFormat="1" applyFont="1" applyFill="1" applyBorder="1" applyAlignment="1">
      <x:alignment vertical="center" wrapText="0"/>
    </x:xf>
    <x:xf numFmtId="0" fontId="2" fillId="0" borderId="12" xfId="0" applyNumberFormat="1" applyFont="1" applyFill="1" applyBorder="1" applyAlignment="1">
      <x:alignment vertical="center" wrapText="1"/>
    </x:xf>
    <x:xf numFmtId="201" fontId="2" fillId="0" borderId="5" xfId="0" applyNumberFormat="1" applyFont="1" applyFill="1" applyBorder="1" applyAlignment="1">
      <x:alignment vertical="center" wrapText="1"/>
    </x:xf>
    <x:xf numFmtId="201" fontId="2" fillId="0" borderId="7" xfId="0" applyNumberFormat="1" applyFont="1" applyFill="1" applyBorder="1" applyAlignment="1">
      <x:alignment vertical="center" wrapText="1"/>
    </x:xf>
    <x:xf numFmtId="201"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1"/>
    </x:xf>
    <x:xf numFmtId="0" fontId="2" fillId="0" borderId="4" xfId="0" applyNumberFormat="1" applyFont="1" applyFill="1" applyBorder="1" applyAlignment="1">
      <x:alignment vertical="center" wrapText="0"/>
    </x:xf>
    <x:xf numFmtId="201" fontId="2" fillId="0" borderId="14" xfId="0" applyNumberFormat="1" applyFont="1" applyFill="1" applyBorder="1" applyAlignment="1">
      <x:alignment vertical="center" wrapText="0"/>
    </x:xf>
    <x:xf numFmtId="201"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0"/>
    </x:xf>
    <x:xf numFmtId="203" fontId="2" fillId="0" borderId="5" xfId="0" applyNumberFormat="1" applyFont="1" applyFill="1" applyBorder="1" applyAlignment="1">
      <x:alignment vertical="center" wrapText="0"/>
    </x:xf>
    <x:xf numFmtId="0" fontId="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6" fontId="2" fillId="0" borderId="14" xfId="0" applyNumberFormat="1" applyFont="1" applyFill="1" applyBorder="1" applyAlignment="1">
      <x:alignment vertical="center" wrapText="0"/>
    </x:xf>
    <x:xf numFmtId="206" fontId="2" fillId="0" borderId="14" xfId="0" applyNumberFormat="1" applyFont="1" applyFill="1" applyBorder="1" applyAlignment="1">
      <x:alignment vertical="center" wrapText="1"/>
    </x:xf>
    <x:xf numFmtId="0" fontId="2" fillId="0" borderId="6" xfId="0" applyNumberFormat="1" applyFont="1" applyFill="1" applyBorder="1" applyAlignment="1">
      <x:alignment vertical="center" wrapText="0"/>
    </x:xf>
    <x:xf numFmtId="206" fontId="2" fillId="0" borderId="15" xfId="0" applyNumberFormat="1" applyFont="1" applyFill="1" applyBorder="1" applyAlignment="1">
      <x:alignment vertical="center" wrapText="0"/>
    </x:xf>
    <x:xf numFmtId="206" fontId="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0" fontId="2" fillId="0" borderId="2" xfId="0" applyNumberFormat="1" applyFont="1" applyFill="1" applyBorder="1" applyAlignment="1">
      <x:alignment vertical="center" wrapText="0"/>
    </x:xf>
    <x:xf numFmtId="201" fontId="2" fillId="0" borderId="3"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2" fontId="10" fillId="0" borderId="7" xfId="0" applyNumberFormat="1" applyFont="1" applyFill="1" applyBorder="1" applyAlignment="1">
      <x:alignment vertical="center" wrapText="0"/>
    </x:xf>
    <x:xf numFmtId="201" fontId="10"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1"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1"/>
    </x:xf>
    <x:xf numFmtId="201"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1"/>
    </x:xf>
    <x:xf numFmtId="201"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1"/>
    </x:xf>
    <x:xf numFmtId="0" fontId="3" fillId="2" borderId="8" xfId="0" applyNumberFormat="1" applyFont="1" applyFill="1" applyBorder="1" applyAlignment="1">
      <x:alignment vertical="center" wrapText="1"/>
    </x:xf>
    <x:xf numFmtId="0" fontId="3" fillId="2" borderId="8" xfId="0" applyNumberFormat="1" applyFont="1" applyFill="1" applyBorder="1" applyAlignment="1">
      <x:alignment horizontal="center" vertical="center" wrapText="1"/>
    </x:xf>
    <x:xf numFmtId="0" fontId="3" fillId="2" borderId="1" xfId="0" applyNumberFormat="1" applyFont="1" applyFill="1" applyBorder="1" applyAlignment="1">
      <x:alignment horizontal="center" vertical="center" wrapText="1"/>
    </x:xf>
    <x:xf numFmtId="0" fontId="3" fillId="0" borderId="2" xfId="0" applyNumberFormat="1" applyFont="1" applyFill="1" applyBorder="1" applyAlignment="1">
      <x:alignment vertical="center" wrapText="1"/>
    </x:xf>
    <x:xf numFmtId="201" fontId="3" fillId="0" borderId="3" xfId="0" applyNumberFormat="1" applyFont="1" applyFill="1" applyBorder="1" applyAlignment="1">
      <x:alignment vertical="center" wrapText="0"/>
    </x:xf>
    <x:xf numFmtId="201" fontId="13"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3" fillId="0" borderId="14" xfId="0" applyNumberFormat="1" applyFont="1" applyFill="1" applyBorder="1" applyAlignment="1">
      <x:alignment vertical="center" wrapText="0"/>
    </x:xf>
    <x:xf numFmtId="201" fontId="3" fillId="0" borderId="14" xfId="0" applyNumberFormat="1" applyFont="1" applyFill="1" applyBorder="1" applyAlignment="1">
      <x:alignment vertical="center" wrapText="1"/>
    </x:xf>
    <x:xf numFmtId="0" fontId="3" fillId="0" borderId="11" xfId="0" applyNumberFormat="1" applyFont="1" applyFill="1" applyBorder="1" applyAlignment="1">
      <x:alignment vertical="center" wrapText="0"/>
    </x:xf>
    <x:xf numFmtId="201" fontId="3" fillId="0" borderId="17" xfId="0" applyNumberFormat="1" applyFont="1" applyFill="1" applyBorder="1" applyAlignment="1">
      <x:alignment vertical="center" wrapText="0"/>
    </x:xf>
    <x:xf numFmtId="201" fontId="3" fillId="0" borderId="17" xfId="0" applyNumberFormat="1" applyFont="1" applyFill="1" applyBorder="1" applyAlignment="1">
      <x:alignment vertical="center" wrapText="1"/>
    </x:xf>
    <x:xf numFmtId="0" fontId="2" fillId="0" borderId="17" xfId="0" applyNumberFormat="1" applyFont="1" applyFill="1" applyBorder="1" applyAlignment="1">
      <x:alignment vertical="center" wrapText="1"/>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1"/>
    </x:xf>
    <x:xf numFmtId="0" fontId="2" fillId="0" borderId="5" xfId="0" applyNumberFormat="1" applyFont="1" applyFill="1" applyBorder="1" applyAlignment="1">
      <x:alignment vertical="center" wrapText="1"/>
    </x:xf>
    <x:xf numFmtId="202" fontId="1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3" fontId="2" fillId="0" borderId="15" xfId="0" applyNumberFormat="1" applyFont="1" applyFill="1" applyBorder="1" applyAlignment="1">
      <x:alignment vertical="center" wrapText="1"/>
    </x:xf>
    <x:xf numFmtId="0" fontId="2" fillId="0" borderId="7" xfId="0" applyNumberFormat="1" applyFont="1" applyFill="1" applyBorder="1" applyAlignment="1">
      <x:alignment vertical="center" wrapText="1"/>
    </x:xf>
    <x:xf numFmtId="0" fontId="2" fillId="2" borderId="17" xfId="0" applyNumberFormat="1" applyFont="1" applyFill="1" applyBorder="1" applyAlignment="1">
      <x:alignment vertical="center" wrapText="1"/>
    </x:xf>
    <x:xf numFmtId="0" fontId="3" fillId="2" borderId="17" xfId="0" applyNumberFormat="1" applyFont="1" applyFill="1" applyBorder="1" applyAlignment="1">
      <x:alignment vertical="center" wrapText="1"/>
    </x:xf>
    <x:xf numFmtId="0" fontId="3" fillId="2" borderId="17" xfId="0" applyNumberFormat="1" applyFont="1" applyFill="1" applyBorder="1" applyAlignment="1">
      <x:alignment horizontal="center" vertical="center" wrapText="1"/>
    </x:xf>
    <x:xf numFmtId="201" fontId="14" fillId="0" borderId="0" xfId="0" applyNumberFormat="1" applyFont="1" applyFill="1" applyBorder="1" applyAlignment="1">
      <x:alignment vertical="center" wrapText="0"/>
    </x:xf>
    <x:xf numFmtId="200" fontId="2" fillId="0" borderId="0" xfId="0" applyNumberFormat="1" applyFont="1" applyFill="1" applyBorder="1" applyAlignment="1">
      <x:alignment vertical="center" wrapText="0"/>
    </x:xf>
    <x:xf numFmtId="200" fontId="5" fillId="0" borderId="0" xfId="0" applyNumberFormat="1" applyFont="1" applyFill="1" applyBorder="1" applyAlignment="1">
      <x:alignment vertical="center" wrapText="0"/>
    </x:xf>
    <x:xf numFmtId="0" fontId="2" fillId="2"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201" fontId="10" fillId="0" borderId="14" xfId="0" applyNumberFormat="1" applyFont="1" applyFill="1" applyBorder="1" applyAlignment="1">
      <x:alignment vertical="center" wrapText="0"/>
    </x:xf>
    <x:xf numFmtId="201" fontId="14" fillId="0" borderId="5" xfId="0" applyNumberFormat="1" applyFont="1" applyFill="1" applyBorder="1" applyAlignment="1">
      <x:alignment vertical="center" wrapText="0"/>
    </x:xf>
    <x:xf numFmtId="201" fontId="10" fillId="0" borderId="15" xfId="0" applyNumberFormat="1" applyFont="1" applyFill="1" applyBorder="1" applyAlignment="1">
      <x:alignment vertical="center" wrapText="0"/>
    </x:xf>
    <x:xf numFmtId="201" fontId="14" fillId="0" borderId="7" xfId="0" applyNumberFormat="1" applyFont="1" applyFill="1" applyBorder="1" applyAlignment="1">
      <x:alignment vertical="center" wrapText="0"/>
    </x:xf>
    <x:xf numFmtId="0" fontId="15" fillId="0" borderId="0" xfId="0" applyNumberFormat="1" applyFont="1" applyFill="1" applyBorder="1" applyAlignment="1">
      <x:alignment vertical="center" wrapText="0"/>
    </x:xf>
    <x:xf numFmtId="200" fontId="15" fillId="0" borderId="0" xfId="0" applyNumberFormat="1" applyFont="1" applyFill="1" applyBorder="1" applyAlignment="1">
      <x:alignment vertical="center" wrapText="0"/>
    </x:xf>
    <x:xf numFmtId="0" fontId="15" fillId="0" borderId="18" xfId="0" applyNumberFormat="1" applyFont="1" applyFill="1" applyBorder="1" applyAlignment="1">
      <x:alignment vertical="center" wrapText="0"/>
    </x:xf>
    <x:xf numFmtId="200" fontId="15" fillId="0" borderId="18" xfId="0" applyNumberFormat="1" applyFont="1" applyFill="1" applyBorder="1" applyAlignment="1">
      <x:alignment vertical="center" wrapText="0"/>
    </x:xf>
    <x:xf numFmtId="201" fontId="10" fillId="0" borderId="0" xfId="0" applyNumberFormat="1" applyFont="1" applyFill="1" applyBorder="1" applyAlignment="1">
      <x:alignment vertical="center" wrapText="1"/>
    </x:xf>
    <x:xf numFmtId="201" fontId="10" fillId="0" borderId="14" xfId="0" applyNumberFormat="1" applyFont="1" applyFill="1" applyBorder="1" applyAlignment="1">
      <x:alignment vertical="center" wrapText="1"/>
    </x:xf>
    <x:xf numFmtId="201" fontId="10" fillId="0" borderId="15" xfId="0" applyNumberFormat="1" applyFont="1" applyFill="1" applyBorder="1" applyAlignment="1">
      <x:alignment vertical="center" wrapText="1"/>
    </x:xf>
    <x:xf numFmtId="201" fontId="2" fillId="0" borderId="15" xfId="0" applyNumberFormat="1" applyFont="1" applyFill="1" applyBorder="1" applyAlignment="1">
      <x:alignment vertical="center" wrapText="1"/>
    </x:xf>
    <x:xf numFmtId="201" fontId="14" fillId="0" borderId="0" xfId="0" applyNumberFormat="1" applyFont="1" applyFill="1" applyBorder="1" applyAlignment="1">
      <x:alignment vertical="center" wrapText="1"/>
    </x:xf>
    <x:xf numFmtId="203" fontId="2" fillId="0" borderId="4" xfId="0" applyNumberFormat="1" applyFont="1" applyFill="1" applyBorder="1" applyAlignment="1">
      <x:alignment vertical="center" wrapText="1"/>
    </x:xf>
    <x:xf numFmtId="201" fontId="14" fillId="0" borderId="14" xfId="0" applyNumberFormat="1" applyFont="1" applyFill="1" applyBorder="1" applyAlignment="1">
      <x:alignment vertical="center" wrapText="1"/>
    </x:xf>
    <x:xf numFmtId="203" fontId="2" fillId="0" borderId="6" xfId="0" applyNumberFormat="1" applyFont="1" applyFill="1" applyBorder="1" applyAlignment="1">
      <x:alignment vertical="center" wrapText="1"/>
    </x:xf>
    <x:xf numFmtId="201" fontId="16" fillId="0" borderId="12"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0" borderId="21"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7"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7"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2" fillId="2" borderId="19" xfId="0" applyNumberFormat="1" applyFont="1" applyFill="1" applyBorder="1" applyAlignment="1">
      <x:alignment vertical="top" wrapText="1"/>
    </x:xf>
    <x:xf numFmtId="0" fontId="3" fillId="2" borderId="19" xfId="0" applyNumberFormat="1" applyFont="1" applyFill="1" applyBorder="1" applyAlignment="1">
      <x:alignment vertical="top" wrapText="1"/>
    </x:xf>
    <x:xf numFmtId="0" fontId="3" fillId="2" borderId="19" xfId="0" applyNumberFormat="1" applyFont="1" applyFill="1" applyBorder="1" applyAlignment="1">
      <x:alignment horizontal="center" vertical="top" wrapText="1"/>
    </x:xf>
    <x:xf numFmtId="0" fontId="3" fillId="2" borderId="22"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1" fontId="12" fillId="0" borderId="14" xfId="0" applyNumberFormat="1" applyFont="1" applyFill="1" applyBorder="1" applyAlignment="1">
      <x:alignment vertical="top" wrapText="1"/>
    </x:xf>
    <x:xf numFmtId="203" fontId="2" fillId="0" borderId="14" xfId="0" applyNumberFormat="1" applyFont="1" applyFill="1" applyBorder="1" applyAlignment="1">
      <x:alignment vertical="top" wrapText="1"/>
    </x:xf>
    <x:xf numFmtId="201" fontId="12" fillId="0" borderId="15" xfId="0" applyNumberFormat="1" applyFont="1" applyFill="1" applyBorder="1" applyAlignment="1">
      <x:alignment vertical="top" wrapText="1"/>
    </x:xf>
    <x:xf numFmtId="203" fontId="2" fillId="0" borderId="15" xfId="0" applyNumberFormat="1" applyFont="1" applyFill="1" applyBorder="1" applyAlignment="1">
      <x:alignment vertical="top" wrapText="1"/>
    </x:xf>
    <x:xf numFmtId="201" fontId="10" fillId="0" borderId="0"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3"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3"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3"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3" fontId="3" fillId="2" borderId="1" xfId="0" applyNumberFormat="1" applyFont="1" applyFill="1" applyBorder="1" applyAlignment="1">
      <x:alignment horizontal="center" vertical="top" wrapText="1"/>
    </x:xf>
    <x:xf numFmtId="201" fontId="10" fillId="0" borderId="14" xfId="0" applyNumberFormat="1" applyFont="1" applyFill="1" applyBorder="1" applyAlignment="1">
      <x:alignment vertical="top" wrapText="1"/>
    </x:xf>
    <x:xf numFmtId="201" fontId="14" fillId="0" borderId="15" xfId="0" applyNumberFormat="1" applyFont="1" applyFill="1" applyBorder="1" applyAlignment="1">
      <x:alignment vertical="top" wrapText="1"/>
    </x:xf>
    <x:xf numFmtId="201" fontId="3" fillId="2" borderId="16" xfId="0" applyNumberFormat="1" applyFont="1" applyFill="1" applyBorder="1" applyAlignment="1">
      <x:alignment horizontal="center" vertical="top" wrapText="1"/>
    </x:xf>
    <x:xf numFmtId="203" fontId="3" fillId="2" borderId="16" xfId="0" applyNumberFormat="1" applyFont="1" applyFill="1" applyBorder="1" applyAlignment="1">
      <x:alignment horizontal="center" vertical="top" wrapText="1"/>
    </x:xf>
    <x:xf numFmtId="201" fontId="14"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0" fillId="0" borderId="16" xfId="0" applyNumberFormat="1" applyFont="1" applyFill="1" applyBorder="1" applyAlignment="1">
      <x:alignment vertical="top" wrapText="1"/>
    </x:xf>
    <x:xf numFmtId="203" fontId="2" fillId="0" borderId="16"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6" fillId="0" borderId="15" xfId="0" applyNumberFormat="1" applyFont="1" applyFill="1" applyBorder="1" applyAlignment="1">
      <x:alignment vertical="top" wrapText="1"/>
    </x:xf>
    <x:xf numFmtId="203"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6" fillId="0" borderId="16" xfId="0" applyNumberFormat="1" applyFont="1" applyFill="1" applyBorder="1" applyAlignment="1">
      <x:alignment vertical="top" wrapText="1"/>
    </x:xf>
    <x:xf numFmtId="203"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6" fillId="0" borderId="14" xfId="0" applyNumberFormat="1" applyFont="1" applyFill="1" applyBorder="1" applyAlignment="1">
      <x:alignment vertical="top" wrapText="1"/>
    </x:xf>
    <x:xf numFmtId="203"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6" fillId="0" borderId="17" xfId="0" applyNumberFormat="1" applyFont="1" applyFill="1" applyBorder="1" applyAlignment="1">
      <x:alignment vertical="top" wrapText="1"/>
    </x:xf>
    <x:xf numFmtId="203"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0" fillId="0" borderId="0" xfId="0" applyNumberFormat="1" applyFont="1" applyFill="1" applyBorder="1" applyAlignment="1">
      <x:alignment wrapText="0"/>
    </x:xf>
    <x:xf numFmtId="0" fontId="17" fillId="0" borderId="0" xfId="0" applyNumberFormat="1" applyFont="1" applyFill="1" applyBorder="1" applyAlignment="1">
      <x:alignment wrapText="0"/>
    </x:xf>
    <x:xf numFmtId="0" fontId="18" fillId="0" borderId="0" xfId="0" applyNumberFormat="1" applyFont="1" applyFill="1" applyBorder="1" applyAlignment="1">
      <x:alignment wrapText="0"/>
    </x:xf>
    <x:xf numFmtId="201" fontId="8" fillId="0" borderId="0" xfId="0" applyNumberFormat="1" applyFont="1" applyFill="1" applyBorder="1"/>
    <x:xf numFmtId="201" fontId="19" fillId="0" borderId="0" xfId="0" applyNumberFormat="1" applyFont="1" applyFill="1" applyBorder="1"/>
    <x:xf numFmtId="200" fontId="0" fillId="0" borderId="0" xfId="0" applyNumberFormat="1" applyFont="1" applyFill="1" applyBorder="1"/>
    <x:xf numFmtId="200" fontId="8" fillId="0" borderId="0" xfId="0" applyNumberFormat="1" applyFont="1" applyFill="1" applyBorder="1"/>
    <x:xf numFmtId="204" fontId="19" fillId="0" borderId="0" xfId="0" applyNumberFormat="1" applyFont="1" applyFill="1" applyBorder="1"/>
    <x:xf numFmtId="201" fontId="9" fillId="0" borderId="0" xfId="0" applyNumberFormat="1" applyFont="1" applyFill="1" applyBorder="1"/>
    <x:xf numFmtId="201" fontId="20" fillId="0" borderId="0" xfId="0" applyNumberFormat="1" applyFont="1" applyFill="1" applyBorder="1"/>
    <x:xf numFmtId="200" fontId="9" fillId="0" borderId="0" xfId="0" applyNumberFormat="1" applyFont="1" applyFill="1" applyBorder="1"/>
    <x:xf numFmtId="204" fontId="20" fillId="0" borderId="0" xfId="0" applyNumberFormat="1" applyFont="1" applyFill="1" applyBorder="1"/>
    <x:xf numFmtId="201" fontId="10" fillId="0" borderId="0" xfId="0" applyNumberFormat="1" applyFont="1" applyFill="1" applyBorder="1"/>
    <x:xf numFmtId="201" fontId="14" fillId="0" borderId="0" xfId="0" applyNumberFormat="1" applyFont="1" applyFill="1" applyBorder="1"/>
    <x:xf numFmtId="200" fontId="10" fillId="0" borderId="0" xfId="0" applyNumberFormat="1" applyFont="1" applyFill="1" applyBorder="1"/>
    <x:xf numFmtId="204" fontId="14" fillId="0" borderId="0" xfId="0" applyNumberFormat="1" applyFont="1" applyFill="1" applyBorder="1"/>
    <x:xf numFmtId="201" fontId="10" fillId="0" borderId="0" xfId="0" applyNumberFormat="1" applyFont="1" applyFill="1" applyBorder="1" applyAlignment="1">
      <x:alignment wrapText="1"/>
    </x:xf>
    <x:xf numFmtId="201" fontId="14" fillId="0" borderId="0" xfId="0" applyNumberFormat="1" applyFont="1" applyFill="1" applyBorder="1" applyAlignment="1">
      <x:alignment wrapText="1"/>
    </x:xf>
    <x:xf numFmtId="200" fontId="10" fillId="0" borderId="0" xfId="0" applyNumberFormat="1" applyFont="1" applyFill="1" applyBorder="1" applyAlignment="1">
      <x:alignment wrapText="1"/>
    </x:xf>
    <x:xf numFmtId="204" fontId="14" fillId="0" borderId="0" xfId="0" applyNumberFormat="1" applyFont="1" applyFill="1" applyBorder="1" applyAlignment="1">
      <x:alignment wrapText="1"/>
    </x:xf>
    <x:xf numFmtId="200" fontId="10" fillId="0" borderId="0" xfId="0" applyNumberFormat="1" applyFont="1" applyFill="1" applyBorder="1" applyAlignment="1">
      <x:alignment vertical="top" wrapText="1"/>
    </x:xf>
    <x:xf numFmtId="204" fontId="14" fillId="0" borderId="0" xfId="0" applyNumberFormat="1" applyFont="1" applyFill="1" applyBorder="1" applyAlignment="1">
      <x:alignment vertical="top" wrapText="1"/>
    </x:xf>
    <x:xf numFmtId="200" fontId="10" fillId="0" borderId="14" xfId="0" applyNumberFormat="1" applyFont="1" applyFill="1" applyBorder="1" applyAlignment="1">
      <x:alignment vertical="top" wrapText="1"/>
    </x:xf>
    <x:xf numFmtId="204" fontId="14" fillId="0" borderId="14" xfId="0" applyNumberFormat="1" applyFont="1" applyFill="1" applyBorder="1" applyAlignment="1">
      <x:alignment vertical="top" wrapText="1"/>
    </x:xf>
    <x:xf numFmtId="200" fontId="10" fillId="0" borderId="15"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201" fontId="13" fillId="0" borderId="17" xfId="0" applyNumberFormat="1" applyFont="1" applyFill="1" applyBorder="1" applyAlignment="1">
      <x:alignment vertical="top" wrapText="1"/>
    </x:xf>
    <x:xf numFmtId="0" fontId="21" fillId="0" borderId="5" xfId="0" applyNumberFormat="1" applyFont="1" applyFill="1" applyBorder="1" applyAlignment="1">
      <x:alignment vertical="top" wrapText="1"/>
    </x:xf>
    <x:xf numFmtId="0" fontId="21" fillId="0" borderId="12" xfId="0" applyNumberFormat="1" applyFont="1" applyFill="1" applyBorder="1" applyAlignment="1">
      <x:alignment vertical="top" wrapText="1"/>
    </x:xf>
    <x:xf numFmtId="0" fontId="21" fillId="0" borderId="7" xfId="0" applyNumberFormat="1" applyFont="1" applyFill="1" applyBorder="1" applyAlignment="1">
      <x:alignment vertical="top" wrapText="1"/>
    </x:xf>
    <x:xf numFmtId="204" fontId="8" fillId="0" borderId="0" xfId="0" applyNumberFormat="1" applyFont="1" applyFill="1" applyBorder="1"/>
    <x:xf numFmtId="204" fontId="9" fillId="0" borderId="0" xfId="0" applyNumberFormat="1" applyFont="1" applyFill="1" applyBorder="1"/>
    <x:xf numFmtId="204" fontId="10" fillId="0" borderId="0" xfId="0" applyNumberFormat="1" applyFont="1" applyFill="1" applyBorder="1"/>
    <x:xf numFmtId="204" fontId="10" fillId="0" borderId="0" xfId="0" applyNumberFormat="1" applyFont="1" applyFill="1" applyBorder="1" applyAlignment="1">
      <x:alignment wrapText="1"/>
    </x:xf>
    <x:xf numFmtId="204" fontId="10" fillId="0" borderId="0" xfId="0" applyNumberFormat="1" applyFont="1" applyFill="1" applyBorder="1" applyAlignment="1">
      <x:alignment vertical="top" wrapText="1"/>
    </x:xf>
    <x:xf numFmtId="204" fontId="10" fillId="0" borderId="14"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6" xfId="0" applyNumberFormat="1" applyFont="1" applyFill="1" applyBorder="1" applyAlignment="1">
      <x:alignment wrapText="1"/>
    </x:xf>
    <x:xf numFmtId="0" fontId="2" fillId="0" borderId="3" xfId="0" applyNumberFormat="1" applyFont="1" applyFill="1" applyBorder="1" applyAlignment="1">
      <x:alignment wrapText="1"/>
    </x:xf>
    <x:xf numFmtId="0" fontId="10" fillId="0" borderId="0" xfId="0" applyNumberFormat="1" applyFont="1" applyFill="1" applyBorder="1" applyAlignment="1">
      <x:alignment vertical="top" wrapText="1"/>
    </x:xf>
    <x:xf numFmtId="201" fontId="10" fillId="0" borderId="5" xfId="0" applyNumberFormat="1" applyFont="1" applyFill="1" applyBorder="1" applyAlignment="1">
      <x:alignment vertical="top" wrapText="1"/>
    </x:xf>
    <x:xf numFmtId="201" fontId="10" fillId="0" borderId="7" xfId="0" applyNumberFormat="1" applyFont="1" applyFill="1" applyBorder="1" applyAlignment="1">
      <x:alignment vertical="top" wrapText="1"/>
    </x:xf>
    <x:xf numFmtId="201" fontId="10" fillId="0" borderId="15"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6d611c6e573446b" /><Relationship Type="http://schemas.openxmlformats.org/officeDocument/2006/relationships/theme" Target="/xl/theme/theme1.xml" Id="R2a1a598675e24339" /><Relationship Type="http://schemas.openxmlformats.org/officeDocument/2006/relationships/sharedStrings" Target="/xl/sharedStrings.xml" Id="R4430e3af3976484a" /><Relationship Type="http://schemas.openxmlformats.org/officeDocument/2006/relationships/worksheet" Target="/xl/worksheets/sheet1.xml" Id="Ra33e069244d4473e" /><Relationship Type="http://schemas.openxmlformats.org/officeDocument/2006/relationships/worksheet" Target="/xl/worksheets/sheet2.xml" Id="Ra5bec4d69ccb4e75" /><Relationship Type="http://schemas.openxmlformats.org/officeDocument/2006/relationships/worksheet" Target="/xl/worksheets/sheet3.xml" Id="Ra3a94f59c47a485e" /><Relationship Type="http://schemas.openxmlformats.org/officeDocument/2006/relationships/worksheet" Target="/xl/worksheets/sheet4.xml" Id="R18aa3341372346c5" /><Relationship Type="http://schemas.openxmlformats.org/officeDocument/2006/relationships/worksheet" Target="/xl/worksheets/sheet5.xml" Id="R0427e5c18a244b0c" /><Relationship Type="http://schemas.openxmlformats.org/officeDocument/2006/relationships/worksheet" Target="/xl/worksheets/sheet6.xml" Id="Rcc3c33cc0e694c4c" /><Relationship Type="http://schemas.openxmlformats.org/officeDocument/2006/relationships/worksheet" Target="/xl/worksheets/sheet7.xml" Id="Rc4d83923e25a45a0" /><Relationship Type="http://schemas.openxmlformats.org/officeDocument/2006/relationships/worksheet" Target="/xl/worksheets/sheet8.xml" Id="Rcccb4df059f14315" /><Relationship Type="http://schemas.openxmlformats.org/officeDocument/2006/relationships/worksheet" Target="/xl/worksheets/sheet9.xml" Id="Ra4d7f6d05de24420" /><Relationship Type="http://schemas.openxmlformats.org/officeDocument/2006/relationships/worksheet" Target="/xl/worksheets/sheet10.xml" Id="R990186929e7145d6" /></Relationships>
</file>

<file path=xl/drawings/_rels/drawing1.xml.rels>&#65279;<?xml version="1.0" encoding="utf-8"?><Relationships xmlns="http://schemas.openxmlformats.org/package/2006/relationships"><Relationship Type="http://schemas.openxmlformats.org/officeDocument/2006/relationships/chart" Target="/xl/drawings/charts/chart1.xml" Id="R27a9b1d5533f4849" /><Relationship Type="http://schemas.openxmlformats.org/officeDocument/2006/relationships/chart" Target="/xl/drawings/charts/chart2.xml" Id="R9e33db2aaef84370" /></Relationships>
</file>

<file path=xl/drawings/_rels/drawing2.xml.rels>&#65279;<?xml version="1.0" encoding="utf-8"?><Relationships xmlns="http://schemas.openxmlformats.org/package/2006/relationships"><Relationship Type="http://schemas.openxmlformats.org/officeDocument/2006/relationships/chart" Target="/xl/drawings/charts/chart3.xml" Id="Rb8eb2bbaa1944145"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borrowing and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spPr>
            <a:solidFill xmlns:a="http://schemas.openxmlformats.org/drawingml/2006/main">
              <a:srgbClr val="8D99A8"/>
            </a:solidFill>
          </c:spPr>
          <c:invertIfNegative val="0"/>
          <c:cat>
            <c:strRef>
              <c:f>'Core charts'!$A$25:$A$26</c:f>
              <c:strCache>
                <c:ptCount val="0"/>
              </c:strCache>
            </c:strRef>
          </c:cat>
          <c:val>
            <c:numRef>
              <c:f>'Core charts'!$B$25:$B$26</c:f>
              <c:numCache>
                <c:formatCode>#,##0,,;(#,##0,,);"-"</c:formatCode>
                <c:ptCount val="0"/>
              </c:numCache>
            </c:numRef>
          </c:val>
        </c:ser>
        <c:ser>
          <c:idx val="1"/>
          <c:order val="1"/>
          <c:tx>
            <c:v>Baseline borrowing</c:v>
          </c:tx>
          <c:spPr>
            <a:solidFill xmlns:a="http://schemas.openxmlformats.org/drawingml/2006/main">
              <a:srgbClr val="47627F"/>
            </a:solidFill>
          </c:spPr>
          <c:invertIfNegative val="0"/>
          <c:cat>
            <c:strRef>
              <c:f>'Core charts'!$A$25:$A$26</c:f>
              <c:strCache>
                <c:ptCount val="0"/>
              </c:strCache>
            </c:strRef>
          </c:cat>
          <c:val>
            <c:numRef>
              <c:f>'Core charts'!$C$25:$C$26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Cash capex exceeded operating cash flow</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'Cash analysis'!$H$36:$H$38</c:f>
              <c:strCache>
                <c:ptCount val="0"/>
              </c:strCache>
            </c:strRef>
          </c:cat>
          <c:val>
            <c:numRef>
              <c:f>'Cash analysis'!$I$36:$I$38</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7a9b1d5533f4849"/>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e33db2aaef84370"/>
        </a:graphicData>
      </a:graphic>
    </xdr:graphicFrame>
    <xdr:clientData/>
  </xdr:twoCellAnchor>
</xdr:wsDr>
</file>

<file path=xl/drawings/drawing2.xml><?xml version="1.0" encoding="utf-8"?>
<xdr:wsDr xmlns:xdr="http://schemas.openxmlformats.org/drawingml/2006/spreadsheetDrawing">
  <xdr:twoCellAnchor>
    <xdr:from>
      <xdr:col>3</xdr:col>
      <xdr:colOff>0</xdr:colOff>
      <xdr:row>4</xdr:row>
      <xdr:rowOff>0</xdr:rowOff>
    </xdr:from>
    <xdr:to>
      <xdr:col>12</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8eb2bbaa1944145"/>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87f0ab612d5b48b5" /></Relationships>
</file>

<file path=xl/worksheets/_rels/sheet7.xml.rels>&#65279;<?xml version="1.0" encoding="utf-8"?><Relationships xmlns="http://schemas.openxmlformats.org/package/2006/relationships"><Relationship Type="http://schemas.openxmlformats.org/officeDocument/2006/relationships/drawing" Target="/xl/drawings/drawing2.xml" Id="R6cacfe896f144c89"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Oracle Corporation funding conclusion</x:v>
      </x:c>
      <x:c r="B2" s="4"/>
    </x:row>
    <x:row r="3" ht="24" customHeight="1">
      <x:c r="A3" s="8" t="str">
        <x:v>Balance sheet 2026-08-31.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Equity proceeds and specified customer prepayments contributed to funding a quarter in which capex exceeded operating cash flow. The dated cash balance does not establish coverage of future debt and infrastructure payments.</x:v>
      </x:c>
    </x:row>
    <x:row r="7" ht="76" customHeight="1">
      <x:c r="A7" s="15" t="str">
        <x:v>Near-term obligations</x:v>
      </x:c>
      <x:c r="B7" s="16" t="str">
        <x:v>At August 31, 2026, current borrowing was $7.625B, not a principal payment calendar. September 2026–May 2027 disclosed payments are $3.219B operating leases, $620M finance leases and $5.449B purchase/other obligations. They remain separate because overlap is unresolved.</x:v>
      </x:c>
    </x:row>
    <x:row r="8" ht="76" customHeight="1">
      <x:c r="A8" s="15" t="str">
        <x:v>Resources and access</x:v>
      </x:c>
      <x:c r="B8" s="16" t="str">
        <x:v>$36.369B cash at August 31 excludes $2.565B restricted cash. The $10B revolver was undrawn at May 31. August/later drawings and drawable capacity are Unavailable. Draw conditions apply. The fully used $20B gross ATM equity program provides no remaining capacity.</x:v>
      </x:c>
    </x:row>
    <x:row r="9" ht="76" customHeight="1">
      <x:c r="A9" s="15" t="str">
        <x:v>Competing cash uses</x:v>
      </x:c>
      <x:c r="B9" s="16" t="str">
        <x:v>Jun–Aug 2026 OCF $23.103B included $11.363B specified customer prepayments. Cash capex was $28.499B and net ATM proceeds $19.909B. OCF less specified prepayments and capex was negative $16.759B. This historical exclusion is not recurring OCF or a forecast.</x:v>
      </x:c>
    </x:row>
    <x:row r="10" ht="76" customHeight="1">
      <x:c r="A10" s="17" t="str">
        <x:v>Decisive unknowns</x:v>
      </x:c>
      <x:c r="B10" s="18" t="str">
        <x:v>Future funding coverage: Unavailable. Needed: remaining debt principal dates, current drawable credit, future cash generation and commitment overlap. The $288B leases not yet commenced have no annual payment schedule. Historical equity/prepayment inflows are already in cash and cannot be added again.</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IF(ISNUMBER('Cash analysis'!B49),'Cash analysis'!B49,NA())</x:f>
        <x:v>4.517437304075235</x:v>
      </x:c>
    </x:row>
    <x:row r="14" ht="72" customHeight="1">
      <x:c r="A14" s="25" t="str">
        <x:v>Company-specific basis</x:v>
      </x:c>
      <x:c r="B14" s="16" t="str">
        <x:v>TTM Sep 2025–Aug 2026: reported operating income $23.057B / reported interest $5.104B. Borrowing-only composition and capitalization basis are Unavailable. Separately disclosed $357M finance-lease interest is not added or subtracted without a reconciliation.</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row r="20" ht="44" customHeight="1">
      <x:c r="A20" s="13" t="str">
        <x:v>Workbook contents — select the named tab</x:v>
      </x:c>
      <x:c r="B20" s="14" t="str">
        <x:v>Question / evidence</x:v>
      </x:c>
    </x:row>
    <x:row r="21" ht="44" customHeight="1">
      <x:c r="A21" s="15" t="str">
        <x:v>Funding conclusion</x:v>
      </x:c>
      <x:c r="B21" s="16" t="str">
        <x:v>Start here: obligations, accessible resources, competing uses and decisive unknowns.</x:v>
      </x:c>
    </x:row>
    <x:row r="22" ht="44" customHeight="1">
      <x:c r="A22" s="15" t="str">
        <x:v>Borrowing and leases</x:v>
      </x:c>
      <x:c r="B22" s="16" t="str">
        <x:v>Borrowing components, dated lease liabilities and uncommenced commitments, separately.</x:v>
      </x:c>
    </x:row>
    <x:row r="23" ht="44" customHeight="1">
      <x:c r="A23" s="15" t="str">
        <x:v>Debt and liquidity</x:v>
      </x:c>
      <x:c r="B23" s="16" t="str">
        <x:v>Latest checked ratios, formulas, periods and company-specific limits.</x:v>
      </x:c>
    </x:row>
    <x:row r="24" ht="44" customHeight="1">
      <x:c r="A24" s="15" t="str">
        <x:v>History</x:v>
      </x:c>
      <x:c r="B24" s="16" t="str">
        <x:v>Annual versus latest dated balances; overlapping FY and TTM flows. Unavailable is not zero.</x:v>
      </x:c>
    </x:row>
    <x:row r="25" ht="44" customHeight="1">
      <x:c r="A25" s="15" t="str">
        <x:v>Core charts</x:v>
      </x:c>
      <x:c r="B25" s="16" t="str">
        <x:v>What remained after capital spending, and how checked cash/borrowing balances changed.</x:v>
      </x:c>
    </x:row>
    <x:row r="26" ht="44" customHeight="1">
      <x:c r="A26" s="15" t="str">
        <x:v>Repayment review</x:v>
      </x:c>
      <x:c r="B26" s="16" t="str">
        <x:v>Dated obligations, possible funding and unresolved availability.</x:v>
      </x:c>
    </x:row>
    <x:row r="27" ht="44" customHeight="1">
      <x:c r="A27" s="15" t="str">
        <x:v>Cash analysis</x:v>
      </x:c>
      <x:c r="B27" s="16" t="str">
        <x:v>Quarter cash bridge, customer prepayments, equity proceeds and historical interest build.</x:v>
      </x:c>
    </x:row>
    <x:row r="28" ht="44" customHeight="1">
      <x:c r="A28" s="15" t="str">
        <x:v>Payment dates</x:v>
      </x:c>
      <x:c r="B28" s="16" t="str">
        <x:v>Contract schedules on their own dates and bases; no combined obligations total.</x:v>
      </x:c>
    </x:row>
    <x:row r="29" ht="44" customHeight="1">
      <x:c r="A29" s="15" t="str">
        <x:v>Data</x:v>
      </x:c>
      <x:c r="B29" s="16" t="str">
        <x:v>Reported inputs with filing dates, accessions, tags, contexts and source URLs; separate evidence blocks.</x:v>
      </x:c>
    </x:row>
    <x:row r="30" ht="44" customHeight="1">
      <x:c r="A30" s="17" t="str">
        <x:v>About</x:v>
      </x:c>
      <x:c r="B30" s="18" t="str">
        <x:v>Definitions, source scope, missing values, colors and methodology references.</x:v>
      </x:c>
    </x:row>
    <x:row r="32" ht="55" customHeight="1">
      <x:c r="A32" s="202" t="str">
        <x:v>Units and dates</x:v>
      </x:c>
      <x:c r="B32" s="204" t="str">
        <x:v>Amounts are stored as whole USD and displayed in millions unless marked x or %. Balance sheets are instants; FY and later TTM are overlapping twelve-month windows.</x:v>
      </x:c>
    </x:row>
    <x:row r="33" ht="55" customHeight="1">
      <x:c r="A33" s="25" t="str">
        <x:v>Colors</x:v>
      </x:c>
      <x:c r="B33" s="16" t="str">
        <x:v>Blue numeric cells are reported inputs; green formulas reference other sheets; black formulas calculate within a sheet. Green does not mean favorable or recurring cash.</x:v>
      </x:c>
    </x:row>
    <x:row r="34" ht="55" customHeight="1">
      <x:c r="A34" s="25" t="str">
        <x:v>Evidence and uncertainty</x:v>
      </x:c>
      <x:c r="B34" s="16" t="str">
        <x:v>Data contains source URLs and filing metadata. Copy a full URL into a browser to open the source. Unavailable is never zero; capacity and later events do not update balance-sheet cash or borrowing.</x:v>
      </x:c>
    </x:row>
    <x:row r="35" ht="55" customHeight="1">
      <x:c r="A35" s="26" t="str">
        <x:v>Reading the charts</x:v>
      </x:c>
      <x:c r="B35" s="18" t="str">
        <x:v>FCF is OCF less capital spending, not another cash flow to add. Vistra has no supported older borrowing series. Other existing company-specific charts retain their own dated scope.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row>
    <x:row r="2" ht="25" customHeight="1">
      <x:c r="A2" s="7" t="str">
        <x:v>Oracle Corporation borrowing and leases</x:v>
      </x:c>
      <x:c r="B2" s="4"/>
      <x:c r="C2" s="4"/>
      <x:c r="D2" s="4"/>
      <x:c r="E2" s="4"/>
    </x:row>
    <x:row r="3" ht="25" customHeight="1">
      <x:c r="A3" s="8" t="str">
        <x:v>Amounts in USD millions. Each balance retains its own date. Baseline borrowing excludes leases.</x:v>
      </x:c>
      <x:c r="B3" s="4"/>
      <x:c r="C3" s="4"/>
      <x:c r="D3" s="4"/>
      <x:c r="E3" s="4"/>
    </x:row>
    <x:row r="4" ht="12" customHeight="1">
      <x:c r="A4" s="4"/>
      <x:c r="B4" s="4"/>
      <x:c r="C4" s="4"/>
      <x:c r="D4" s="4"/>
      <x:c r="E4" s="4"/>
    </x:row>
    <x:row r="5" ht="28" customHeight="1">
      <x:c r="A5" s="13" t="str">
        <x:v>Borrowing component</x:v>
      </x:c>
      <x:c r="B5" s="219" t="str">
        <x:v>USD millions</x:v>
      </x:c>
      <x:c r="C5" s="219" t="str">
        <x:v>As of</x:v>
      </x:c>
      <x:c r="D5" s="219" t="str">
        <x:v>Source / filing</x:v>
      </x:c>
      <x:c r="E5" s="14" t="str">
        <x:v>Basis</x:v>
      </x:c>
    </x:row>
    <x:row r="6" ht="42" customHeight="1">
      <x:c r="A6" s="25" t="str">
        <x:v>Current borrowing</x:v>
      </x:c>
      <x:c r="B6" s="241" t="n">
        <x:f>IF(ISNUMBER('Data'!B103),'Data'!B103,NA())</x:f>
        <x:v>7625000000</x:v>
      </x:c>
      <x:c r="C6" s="228" t="d">
        <x:v>2026-08-31T00:00:00.000Z</x:v>
      </x:c>
      <x:c r="D6" s="205" t="str">
        <x:v>10-Q balance sheet, p. 1; filed 2026-09-11</x:v>
      </x:c>
      <x:c r="E6" s="16" t="str">
        <x:v>Notes payable and other borrowings, current</x:v>
      </x:c>
    </x:row>
    <x:row r="7" ht="42" customHeight="1">
      <x:c r="A7" s="25" t="str">
        <x:v>Noncurrent borrowing</x:v>
      </x:c>
      <x:c r="B7" s="241" t="n">
        <x:f>IF(ISNUMBER('Data'!B104),'Data'!B104,NA())</x:f>
        <x:v>117712000000</x:v>
      </x:c>
      <x:c r="C7" s="228" t="d">
        <x:v>2026-08-31T00:00:00.000Z</x:v>
      </x:c>
      <x:c r="D7" s="205" t="str">
        <x:v>10-Q balance sheet, p. 1; filed 2026-09-11</x:v>
      </x:c>
      <x:c r="E7" s="16" t="str">
        <x:v>Notes payable and other borrowings, non-current</x:v>
      </x:c>
    </x:row>
    <x:row r="8" ht="42" customHeight="1">
      <x:c r="A8" s="255" t="str">
        <x:v>Baseline gross debt</x:v>
      </x:c>
      <x:c r="B8" s="256" t="n">
        <x:f>SUM(B6:B7)</x:f>
        <x:v>125337000000</x:v>
      </x:c>
      <x:c r="C8" s="257" t="d">
        <x:v>2026-08-31T00:00:00.000Z</x:v>
      </x:c>
      <x:c r="D8" s="258" t="str">
        <x:v>Derived from the components above</x:v>
      </x:c>
      <x:c r="E8" s="259" t="str">
        <x:v>Carrying amount; excludes leases.</x:v>
      </x:c>
    </x:row>
    <x:row r="9" ht="12" customHeight="1">
      <x:c r="A9" s="4"/>
      <x:c r="B9" s="224"/>
      <x:c r="C9" s="226"/>
      <x:c r="D9" s="4"/>
      <x:c r="E9" s="4"/>
    </x:row>
    <x:row r="10" ht="58" customHeight="1">
      <x:c r="A10" s="4" t="str">
        <x:v>Borrowing scope</x:v>
      </x:c>
      <x:c r="B10" s="224"/>
      <x:c r="C10" s="226"/>
      <x:c r="D10" s="4"/>
      <x:c r="E10" s="4" t="str">
        <x:v>The 10-Q does not split these borrowing lines by instrument. Commercial paper and the capex-financing balance remain Unavailable. The rounded $125.0B disclosure is not added.</x:v>
      </x:c>
    </x:row>
    <x:row r="11" ht="12" customHeight="1">
      <x:c r="A11" s="4"/>
      <x:c r="B11" s="224"/>
      <x:c r="C11" s="226"/>
      <x:c r="D11" s="4"/>
      <x:c r="E11" s="4"/>
    </x:row>
    <x:row r="12" ht="12" customHeight="1">
      <x:c r="A12" s="4"/>
      <x:c r="B12" s="224"/>
      <x:c r="C12" s="226"/>
      <x:c r="D12" s="4"/>
      <x:c r="E12" s="4"/>
    </x:row>
    <x:row r="13" ht="28" customHeight="1">
      <x:c r="A13" s="13" t="str">
        <x:v>Lease liability / commitment</x:v>
      </x:c>
      <x:c r="B13" s="243" t="str">
        <x:v>USD millions</x:v>
      </x:c>
      <x:c r="C13" s="244" t="str">
        <x:v>As of</x:v>
      </x:c>
      <x:c r="D13" s="219" t="str">
        <x:v>Source / filing</x:v>
      </x:c>
      <x:c r="E13" s="14" t="str">
        <x:v>Basis / Unavailable reason</x:v>
      </x:c>
    </x:row>
    <x:row r="14" ht="42" customHeight="1">
      <x:c r="A14" s="25" t="str">
        <x:v>Operating lease liabilities — current</x:v>
      </x:c>
      <x:c r="B14" s="241" t="n">
        <x:f>IF(ISNUMBER('Data'!B105),'Data'!B105,NA())</x:f>
        <x:v>4027000000</x:v>
      </x:c>
      <x:c r="C14" s="228" t="d">
        <x:v>2026-08-31T00:00:00.000Z</x:v>
      </x:c>
      <x:c r="D14" s="205" t="str">
        <x:v>10-Q Note 6, pp. 12–13; filed 2026-09-11</x:v>
      </x:c>
      <x:c r="E14" s="16" t="str">
        <x:v>Recognized lease liability; excluded from baseline borrowing.</x:v>
      </x:c>
    </x:row>
    <x:row r="15" ht="42" customHeight="1">
      <x:c r="A15" s="25" t="str">
        <x:v>Operating lease liabilities — noncurrent</x:v>
      </x:c>
      <x:c r="B15" s="241" t="n">
        <x:f>IF(ISNUMBER('Data'!B106),'Data'!B106,NA())</x:f>
        <x:v>30594000000</x:v>
      </x:c>
      <x:c r="C15" s="228" t="d">
        <x:v>2026-08-31T00:00:00.000Z</x:v>
      </x:c>
      <x:c r="D15" s="205" t="str">
        <x:v>10-Q Note 6, pp. 12–13; filed 2026-09-11</x:v>
      </x:c>
      <x:c r="E15" s="16" t="str">
        <x:v>Recognized lease liability; excluded from baseline borrowing.</x:v>
      </x:c>
    </x:row>
    <x:row r="16" ht="42" customHeight="1">
      <x:c r="A16" s="264" t="str">
        <x:v>Operating lease liabilities — total</x:v>
      </x:c>
      <x:c r="B16" s="265" t="n">
        <x:f>B14+B15</x:f>
        <x:v>34621000000</x:v>
      </x:c>
      <x:c r="C16" s="266" t="d">
        <x:v>2026-08-31T00:00:00.000Z</x:v>
      </x:c>
      <x:c r="D16" s="267" t="str">
        <x:v>10-Q Note 6, pp. 12–13</x:v>
      </x:c>
      <x:c r="E16" s="268" t="str">
        <x:v>Components match the reported total.</x:v>
      </x:c>
    </x:row>
    <x:row r="17" ht="42" customHeight="1">
      <x:c r="A17" s="25" t="str">
        <x:v>Finance lease liabilities — current</x:v>
      </x:c>
      <x:c r="B17" s="241" t="n">
        <x:f>IF(ISNUMBER('Data'!B108),'Data'!B108,NA())</x:f>
        <x:v>749000000</x:v>
      </x:c>
      <x:c r="C17" s="228" t="d">
        <x:v>2026-08-31T00:00:00.000Z</x:v>
      </x:c>
      <x:c r="D17" s="205" t="str">
        <x:v>10-Q Note 6, pp. 12–13; filed 2026-09-11</x:v>
      </x:c>
      <x:c r="E17" s="16" t="str">
        <x:v>Recognized lease liability; excluded from baseline borrowing.</x:v>
      </x:c>
    </x:row>
    <x:row r="18" ht="42" customHeight="1">
      <x:c r="A18" s="25" t="str">
        <x:v>Finance lease liabilities — noncurrent</x:v>
      </x:c>
      <x:c r="B18" s="241" t="n">
        <x:f>IF(ISNUMBER('Data'!B109),'Data'!B109,NA())</x:f>
        <x:v>8436000000</x:v>
      </x:c>
      <x:c r="C18" s="228" t="d">
        <x:v>2026-08-31T00:00:00.000Z</x:v>
      </x:c>
      <x:c r="D18" s="205" t="str">
        <x:v>10-Q Note 6, pp. 12–13; filed 2026-09-11</x:v>
      </x:c>
      <x:c r="E18" s="16" t="str">
        <x:v>Recognized lease liability; excluded from baseline borrowing.</x:v>
      </x:c>
    </x:row>
    <x:row r="19" ht="42" customHeight="1">
      <x:c r="A19" s="255" t="str">
        <x:v>Finance lease liabilities — total</x:v>
      </x:c>
      <x:c r="B19" s="256" t="n">
        <x:f>B17+B18</x:f>
        <x:v>9185000000</x:v>
      </x:c>
      <x:c r="C19" s="257" t="d">
        <x:v>2026-08-31T00:00:00.000Z</x:v>
      </x:c>
      <x:c r="D19" s="258" t="str">
        <x:v>10-Q Note 6, pp. 12–13</x:v>
      </x:c>
      <x:c r="E19" s="259" t="str">
        <x:v>Components match the reported total.</x:v>
      </x:c>
    </x:row>
    <x:row r="20" ht="12" customHeight="1">
      <x:c r="A20" s="4"/>
      <x:c r="B20" s="224"/>
      <x:c r="C20" s="226"/>
      <x:c r="D20" s="4"/>
      <x:c r="E20" s="4"/>
    </x:row>
    <x:row r="21" ht="54" customHeight="1">
      <x:c r="A21" s="246" t="str">
        <x:v>Leases not yet commenced</x:v>
      </x:c>
      <x:c r="B21" s="247" t="n">
        <x:f>IF(ISNUMBER('Data'!B111),'Data'!B111,NA())</x:f>
        <x:v>288000000000</x:v>
      </x:c>
      <x:c r="C21" s="248" t="d">
        <x:v>2026-08-31T00:00:00.000Z</x:v>
      </x:c>
      <x:c r="D21" s="249" t="str">
        <x:v>10-Q Note 6, p. 13</x:v>
      </x:c>
      <x:c r="E21" s="250" t="str">
        <x:v>Amount reported in rounded billions. Future commitment, not a recognized lease liability. Expected to commence Q2 fiscal 2027–fiscal 2029, with 15–19 year terms. Annual payment timing is Unavailable.</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x:c r="A2" s="271" t="str">
        <x:v>Oracle Corporation</x:v>
      </x:c>
    </x:row>
    <x:row r="3">
      <x:c r="A3" s="269" t="str">
        <x:v>Balance sheet 2026-08-31. TTM 2025-09-01 to 2026-08-31. USD millions unless x or %.</x:v>
      </x:c>
    </x:row>
    <x:row r="5">
      <x:c r="A5" s="13" t="str">
        <x:v>Measure</x:v>
      </x:c>
      <x:c r="B5" s="219" t="str">
        <x:v>Value (USD millions / x / %)</x:v>
      </x:c>
      <x:c r="C5" s="219" t="str">
        <x:v>Period end</x:v>
      </x:c>
      <x:c r="D5" s="14" t="str">
        <x:v>Formula / basis / limitation</x:v>
      </x:c>
    </x:row>
    <x:row r="6" ht="50" customHeight="1">
      <x:c r="A6" s="25" t="str">
        <x:v>Cash and cash equivalents</x:v>
      </x:c>
      <x:c r="B6" s="241" t="n">
        <x:f>IF(ISNUMBER('Data'!B115),'Data'!B115,NA())</x:f>
        <x:v>36369000000</x:v>
      </x:c>
      <x:c r="C6" s="228" t="d">
        <x:v>2026-08-31T00:00:00.000Z</x:v>
      </x:c>
      <x:c r="D6" s="296" t="str">
        <x:v>Cash and cash equivalents excluding restricted cash. Investments are not substituted.</x:v>
      </x:c>
    </x:row>
    <x:row r="7" ht="118" customHeight="1">
      <x:c r="A7" s="264" t="str">
        <x:v>Baseline gross debt</x:v>
      </x:c>
      <x:c r="B7" s="295" t="n">
        <x:f>IF(AND(IF(ISNUMBER('Data'!B116),'Data'!B116,NA())&gt;=0,IF(ISNUMBER('Data'!B117),'Data'!B117,NA())&gt;=0),IF(ISNUMBER('Data'!B116),'Data'!B116,NA())+IF(ISNUMBER('Data'!B117),'Data'!B117,NA()),NA())</x:f>
        <x:v>125337000000</x:v>
      </x:c>
      <x:c r="C7" s="266" t="d">
        <x:v>2026-08-31T00:00:00.000Z</x:v>
      </x:c>
      <x:c r="D7" s="297" t="str">
        <x:v>Carrying amount of borrowing. Operating/finance leases and commitments are excluded.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50" customHeight="1">
      <x:c r="A8" s="264" t="str">
        <x:v>Net debt</x:v>
      </x:c>
      <x:c r="B8" s="265" t="n">
        <x:f>B7-B6</x:f>
        <x:v>88968000000</x:v>
      </x:c>
      <x:c r="C8" s="266" t="d">
        <x:v>2026-08-31T00:00:00.000Z</x:v>
      </x:c>
      <x:c r="D8" s="297" t="str">
        <x:v>Baseline borrowing less cash excluding restricted cash. Same date and filing. Negative net debt is retained.</x:v>
      </x:c>
    </x:row>
    <x:row r="9" ht="53" customHeight="1">
      <x:c r="A9" s="25" t="str">
        <x:v>Current ratio</x:v>
      </x:c>
      <x:c r="B9" s="291" t="n">
        <x:f>IF(IF(ISNUMBER('Data'!B118),'Data'!B118,NA())&gt;0,IF(ISNUMBER('Data'!B119),'Data'!B119,NA())/IF(ISNUMBER('Data'!B118),'Data'!B118,NA()),NA())</x:f>
        <x:v>1.1708128130656228</x:v>
      </x:c>
      <x:c r="C9" s="228" t="d">
        <x:v>2026-08-31T00:00:00.000Z</x:v>
      </x:c>
      <x:c r="D9" s="296" t="str">
        <x:v>Total current assets / total current liabilities from one balance sheet. Liabilities include more than borrowing; assets include more than cash.</x:v>
      </x:c>
    </x:row>
    <x:row r="10" ht="66" customHeight="1">
      <x:c r="A10" s="25" t="str">
        <x:v>Operating cash flow</x:v>
      </x:c>
      <x:c r="B10" s="241" t="n">
        <x:f>(1*IF(ISNUMBER('Data'!B120),'Data'!B120,NA()))+(1*IF(ISNUMBER('Data'!B121),'Data'!B121,NA()))+(-1*IF(ISNUMBER('Data'!B122),'Data'!B122,NA()))</x:f>
        <x:v>46940000000</x:v>
      </x:c>
      <x:c r="C10" s="228" t="d">
        <x:v>2026-08-31T00:00:00.000Z</x:v>
      </x:c>
      <x:c r="D10" s="296" t="str">
        <x:v>Reported historical OCF; recurrence is not established. Operating cash flow includes $11.4B of customer prepayments received in the quarter ended Aug 31, 2026 (10-Q p. 7 and MD&amp;A pp. 33–34). Capital expenditures are cash payments; financing cash flows are not added.</x:v>
      </x:c>
    </x:row>
    <x:row r="11" ht="50" customHeight="1">
      <x:c r="A11" s="25" t="str">
        <x:v>Capital expenditures</x:v>
      </x:c>
      <x:c r="B11" s="241" t="n">
        <x:f>(1*IF(ISNUMBER('Data'!B123),'Data'!B123,NA()))+(1*IF(ISNUMBER('Data'!B124),'Data'!B124,NA()))+(-1*IF(ISNUMBER('Data'!B125),'Data'!B125,NA()))</x:f>
        <x:v>75660000000</x:v>
      </x:c>
      <x:c r="C11" s="228" t="d">
        <x:v>2026-08-31T00:00:00.000Z</x:v>
      </x:c>
      <x:c r="D11" s="296" t="str">
        <x:v>Cash capital expenditures. Capex-financing cash flows are not added.</x:v>
      </x:c>
    </x:row>
    <x:row r="12" ht="50" customHeight="1">
      <x:c r="A12" s="264" t="str">
        <x:v>Free cash flow</x:v>
      </x:c>
      <x:c r="B12" s="265" t="n">
        <x:f>B10-B11</x:f>
        <x:v>-28720000000</x:v>
      </x:c>
      <x:c r="C12" s="266" t="d">
        <x:v>2026-08-31T00:00:00.000Z</x:v>
      </x:c>
      <x:c r="D12" s="297" t="str">
        <x:v>OCF less reported capital spending. Uses the spending basis above; excludes acquisitions, dividends and other cash uses.</x:v>
      </x:c>
    </x:row>
    <x:row r="13" ht="50" customHeight="1">
      <x:c r="A13" s="25" t="str">
        <x:v>Operating cash flow / debt</x:v>
      </x:c>
      <x:c r="B13" s="292" t="n">
        <x:f>IF(B7&gt;0,B10/B7,NA())</x:f>
        <x:v>0.37451032017680336</x:v>
      </x:c>
      <x:c r="C13" s="228" t="d">
        <x:v>2026-08-31T00:00:00.000Z</x:v>
      </x:c>
      <x:c r="D13" s="296" t="str">
        <x:v>Historical TTM OCF / period-end baseline borrowing, not average debt or repayment coverage. The reported OCF basis above is retained.</x:v>
      </x:c>
    </x:row>
    <x:row r="14" ht="50" customHeight="1">
      <x:c r="A14" s="25" t="str">
        <x:v>Free cash flow / debt</x:v>
      </x:c>
      <x:c r="B14" s="292" t="n">
        <x:f>IF(B7&gt;0,B12/B7,NA())</x:f>
        <x:v>-0.22914223254106927</x:v>
      </x:c>
      <x:c r="C14" s="228" t="d">
        <x:v>2026-08-31T00:00:00.000Z</x:v>
      </x:c>
      <x:c r="D14" s="296" t="str">
        <x:v>Historical TTM FCF / period-end baseline borrowing. Uses the spending basis above; not repayment coverage.</x:v>
      </x:c>
    </x:row>
    <x:row r="15" ht="79" customHeight="1">
      <x:c r="A15" s="26" t="str">
        <x:v>Historical interest coverage</x:v>
      </x:c>
      <x:c r="B15" s="293" t="n">
        <x:f>'Cash analysis'!B49</x:f>
        <x:v>4.517437304075235</x:v>
      </x:c>
      <x:c r="C15" s="230" t="d">
        <x:v>2026-08-31T00:00:00.000Z</x:v>
      </x:c>
      <x:c r="D15" s="298" t="str">
        <x:v>Reported interest expense before any interest-income offset. The saved 10-K and 10-Q do not state its capitalized-interest basis. Capitalized interest and total interest incurred are Unavailable; neither is assumed zero or added to or subtracted from expense. See the detailed interest build for composition and limitations.</x:v>
      </x:c>
    </x:row>
    <x:row r="17">
      <x:c r="A17" s="13" t="str">
        <x:v>Method</x:v>
      </x:c>
      <x:c r="B17" s="219"/>
      <x:c r="C17" s="219"/>
      <x:c r="D17" s="14" t="str">
        <x:v>Explanation</x:v>
      </x:c>
    </x:row>
    <x:row r="18" ht="60" customHeight="1">
      <x:c r="A18" s="25" t="str">
        <x:v>Periods</x:v>
      </x:c>
      <x:c r="B18" s="205"/>
      <x:c r="C18" s="205"/>
      <x:c r="D18" s="16" t="str">
        <x:v>All cash-flow and interest ratios use the TTM above. FY + current YTD − prior YTD. Balance-sheet denominators use the period end, not average debt.</x:v>
      </x:c>
    </x:row>
    <x:row r="19" ht="145" customHeight="1">
      <x:c r="A19" s="25" t="str">
        <x:v>Historical interest basis</x:v>
      </x:c>
      <x:c r="B19" s="205"/>
      <x:c r="C19" s="205"/>
      <x:c r="D19" s="16" t="str">
        <x:v>Reported interest expense before any interest-income offset. The saved 10-K and 10-Q do not state its capitalized-interest basis. Capitalized interest and total interest incurred are Unavailable; neither is assumed zero or added to or subtracted from expense. 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row>
    <x:row r="20" ht="60" customHeight="1">
      <x:c r="A20" s="25" t="str">
        <x:v>Recalculation</x:v>
      </x:c>
      <x:c r="B20" s="205"/>
      <x:c r="C20" s="205"/>
      <x:c r="D20" s="16" t="str">
        <x:v>The historical interest ratio links to its existing detailed build. Editing source inputs updates formulas; the checked narrative requires a new review.</x:v>
      </x:c>
    </x:row>
    <x:row r="21" ht="72" customHeight="1">
      <x:c r="A21" s="26" t="str">
        <x:v>Interpretation</x:v>
      </x:c>
      <x:c r="B21" s="206"/>
      <x:c r="C21" s="206"/>
      <x:c r="D21" s="18" t="str">
        <x:v>Negative FCF and negative net debt are retained. Historical ratios do not establish future cash available, covenant compliance or funding coverage. Different company bases are not a ranking.</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4"/>
      <x:c r="B1" s="4"/>
      <x:c r="C1" s="4"/>
      <x:c r="D1" s="4"/>
    </x:row>
    <x:row r="2">
      <x:c r="A2" s="7" t="str">
        <x:v>Oracle Corporation — dated history</x:v>
      </x:c>
      <x:c r="B2" s="4"/>
      <x:c r="C2" s="4"/>
      <x:c r="D2" s="4"/>
    </x:row>
    <x:row r="3">
      <x:c r="A3" s="8" t="str">
        <x:v>USD millions unless x or %. Fiscal year and later TTM both span twelve months and overlap.</x:v>
      </x:c>
      <x:c r="B3" s="4"/>
      <x:c r="C3" s="4"/>
      <x:c r="D3" s="4"/>
    </x:row>
    <x:row r="4">
      <x:c r="A4" s="4"/>
      <x:c r="B4" s="4"/>
      <x:c r="C4" s="4"/>
      <x:c r="D4" s="4"/>
    </x:row>
    <x:row r="5" ht="32" customHeight="1">
      <x:c r="A5" s="13" t="str">
        <x:v>Measure</x:v>
      </x:c>
      <x:c r="B5" s="219" t="str">
        <x:v>As of / FY ended 2026-05-31</x:v>
      </x:c>
      <x:c r="C5" s="219" t="str">
        <x:v>As of / TTM ended 2026-08-31</x:v>
      </x:c>
      <x:c r="D5" s="14" t="str">
        <x:v>Basis / limits</x:v>
      </x:c>
    </x:row>
    <x:row r="6" ht="45" customHeight="1">
      <x:c r="A6" s="25" t="str">
        <x:v>Cash and cash equivalents</x:v>
      </x:c>
      <x:c r="B6" s="241" t="n">
        <x:f>IF(ISNUMBER('Data'!B129),'Data'!B129,NA())</x:f>
        <x:v>31289000000</x:v>
      </x:c>
      <x:c r="C6" s="241" t="n">
        <x:f>'Debt and liquidity'!B6</x:f>
        <x:v>36369000000</x:v>
      </x:c>
      <x:c r="D6" s="16" t="str">
        <x:v>Cash and cash equivalents excluding restricted cash. Investments are not substituted.</x:v>
      </x:c>
    </x:row>
    <x:row r="7" ht="101" customHeight="1">
      <x:c r="A7" s="25" t="str">
        <x:v>Baseline gross debt</x:v>
      </x:c>
      <x:c r="B7" s="241" t="n">
        <x:f>IF(ISNUMBER('Data'!B132),'Data'!B132,NA())+IF(ISNUMBER('Data'!B133),'Data'!B133,NA())</x:f>
        <x:v>129541000000</x:v>
      </x:c>
      <x:c r="C7" s="241" t="n">
        <x:f>'Debt and liquidity'!B7</x:f>
        <x:v>125337000000</x:v>
      </x:c>
      <x:c r="D7" s="16" t="str">
        <x:v>Carrying borrowing; leases and commitments excluded. Latest column only: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45" customHeight="1">
      <x:c r="A8" s="25" t="str">
        <x:v>Net debt</x:v>
      </x:c>
      <x:c r="B8" s="245" t="n">
        <x:f>B7-B6</x:f>
        <x:v>98252000000</x:v>
      </x:c>
      <x:c r="C8" s="241" t="n">
        <x:f>'Debt and liquidity'!B8</x:f>
        <x:v>88968000000</x:v>
      </x:c>
      <x:c r="D8" s="16" t="str">
        <x:v>Baseline borrowing less cash excluding restricted cash. Same date and filing. Negative net debt is retained.</x:v>
      </x:c>
    </x:row>
    <x:row r="9" ht="49" customHeight="1">
      <x:c r="A9" s="25" t="str">
        <x:v>Current ratio</x:v>
      </x:c>
      <x:c r="B9" s="291" t="n">
        <x:f>IF(IF(ISNUMBER('Data'!B131),'Data'!B131,NA())&gt;0,IF(ISNUMBER('Data'!B130),'Data'!B130,NA())/IF(ISNUMBER('Data'!B131),'Data'!B131,NA()),NA())</x:f>
        <x:v>1.1150033521693323</x:v>
      </x:c>
      <x:c r="C9" s="291" t="n">
        <x:f>'Debt and liquidity'!B9</x:f>
        <x:v>1.1708128130656228</x:v>
      </x:c>
      <x:c r="D9" s="16" t="str">
        <x:v>Total current assets / total current liabilities from one balance sheet. Liabilities include more than borrowing; assets include more than cash.</x:v>
      </x:c>
    </x:row>
    <x:row r="10" ht="75" customHeight="1">
      <x:c r="A10" s="25" t="str">
        <x:v>Operating cash flow</x:v>
      </x:c>
      <x:c r="B10" s="241" t="n">
        <x:f>IF(ISNUMBER('Data'!B134),'Data'!B134,NA())</x:f>
        <x:v>31977000000</x:v>
      </x:c>
      <x:c r="C10" s="241" t="n">
        <x:f>'Debt and liquidity'!B10</x:f>
        <x:v>46940000000</x:v>
      </x:c>
      <x:c r="D10" s="16" t="str">
        <x:v>Annual column: reported fiscal-year OCF. Latest column only: Reported historical OCF; recurrence is not established. Operating cash flow includes $11.4B of customer prepayments received in the quarter ended Aug 31, 2026 (10-Q p. 7 and MD&amp;A pp. 33–34). Capital expenditures are cash payments; financing cash flows are not added.</x:v>
      </x:c>
    </x:row>
    <x:row r="11" ht="45" customHeight="1">
      <x:c r="A11" s="25" t="str">
        <x:v>Capital expenditures</x:v>
      </x:c>
      <x:c r="B11" s="241" t="n">
        <x:f>IF(ISNUMBER('Data'!B135),'Data'!B135,NA())</x:f>
        <x:v>55663000000</x:v>
      </x:c>
      <x:c r="C11" s="241" t="n">
        <x:f>'Debt and liquidity'!B11</x:f>
        <x:v>75660000000</x:v>
      </x:c>
      <x:c r="D11" s="16" t="str">
        <x:v>Cash capital expenditures. Capex-financing cash flows are not added.</x:v>
      </x:c>
    </x:row>
    <x:row r="12" ht="45" customHeight="1">
      <x:c r="A12" s="25" t="str">
        <x:v>Free cash flow</x:v>
      </x:c>
      <x:c r="B12" s="245" t="n">
        <x:f>B10-B11</x:f>
        <x:v>-23686000000</x:v>
      </x:c>
      <x:c r="C12" s="241" t="n">
        <x:f>'Debt and liquidity'!B12</x:f>
        <x:v>-28720000000</x:v>
      </x:c>
      <x:c r="D12" s="16" t="str">
        <x:v>OCF less reported capital spending. Uses the spending basis above; excludes acquisitions, dividends and other cash uses.</x:v>
      </x:c>
    </x:row>
    <x:row r="13" ht="45" customHeight="1">
      <x:c r="A13" s="25" t="str">
        <x:v>Operating cash flow / debt</x:v>
      </x:c>
      <x:c r="B13" s="292" t="n">
        <x:f>IF(B7&gt;0,B10/B7,NA())</x:f>
        <x:v>0.24684848812345125</x:v>
      </x:c>
      <x:c r="C13" s="304" t="n">
        <x:f>'Debt and liquidity'!B13</x:f>
        <x:v>0.37451032017680336</x:v>
      </x:c>
      <x:c r="D13" s="16" t="str">
        <x:v>Twelve-month flow / borrowing at each period end. Annual column uses FY; latest column uses TTM. Not repayment coverage.</x:v>
      </x:c>
    </x:row>
    <x:row r="14" ht="45" customHeight="1">
      <x:c r="A14" s="25" t="str">
        <x:v>Free cash flow / debt</x:v>
      </x:c>
      <x:c r="B14" s="292" t="n">
        <x:f>IF(B7&gt;0,B12/B7,NA())</x:f>
        <x:v>-0.18284558556750372</x:v>
      </x:c>
      <x:c r="C14" s="304" t="n">
        <x:f>'Debt and liquidity'!B14</x:f>
        <x:v>-0.22914223254106927</x:v>
      </x:c>
      <x:c r="D14" s="16" t="str">
        <x:v>Twelve-month flow / borrowing at each period end. Annual column uses FY; latest column uses TTM. Not repayment coverage.</x:v>
      </x:c>
    </x:row>
    <x:row r="15" ht="49" customHeight="1">
      <x:c r="A15" s="26" t="str">
        <x:v>Historical interest coverage</x:v>
      </x:c>
      <x:c r="B15" s="293" t="n">
        <x:f>IF(AND('Cash analysis'!B46&gt;0),'Cash analysis'!B45/'Cash analysis'!B46,NA())</x:f>
        <x:v>4.480539247662535</x:v>
      </x:c>
      <x:c r="C15" s="293" t="n">
        <x:f>'Debt and liquidity'!B15</x:f>
        <x:v>4.517437304075235</x:v>
      </x:c>
      <x:c r="D15" s="18" t="str">
        <x:v>Annual and later TTM use reported interest expense before interest-income offset. Full composition and capitalization basis remain Unavailable.</x:v>
      </x:c>
    </x:row>
    <x:row r="16">
      <x:c r="A16" s="4"/>
      <x:c r="B16" s="4"/>
      <x:c r="C16" s="4"/>
      <x:c r="D16" s="4"/>
    </x:row>
    <x:row r="17" ht="70" customHeight="1">
      <x:c r="A17" s="4" t="str">
        <x:v>Period definitions</x:v>
      </x:c>
      <x:c r="B17" s="4"/>
      <x:c r="C17" s="4"/>
      <x:c r="D17" s="4"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4" t="str">
        <x:v>Fiscal-year flows</x:v>
      </x:c>
      <x:c r="B18" s="4"/>
      <x:c r="C18" s="4"/>
      <x:c r="D18" s="4" t="str">
        <x:v>2025-06-01 to 2026-05-31</x:v>
      </x:c>
    </x:row>
    <x:row r="19">
      <x:c r="A19" s="4" t="str">
        <x:v>Later TTM flows</x:v>
      </x:c>
      <x:c r="B19" s="4"/>
      <x:c r="C19" s="4"/>
      <x:c r="D19" s="4" t="str">
        <x:v>2025-09-01 to 2026-08-31</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4"/>
      <x:c r="B1" s="4"/>
      <x:c r="C1" s="4"/>
      <x:c r="D1" s="4"/>
      <x:c r="E1" s="2"/>
      <x:c r="F1" s="2"/>
      <x:c r="G1" s="2"/>
      <x:c r="H1" s="2"/>
      <x:c r="I1" s="2"/>
      <x:c r="J1" s="2"/>
      <x:c r="K1" s="2"/>
      <x:c r="L1" s="2"/>
      <x:c r="M1" s="2"/>
      <x:c r="N1" s="2"/>
      <x:c r="O1" s="2"/>
    </x:row>
    <x:row r="2" ht="35" customHeight="1">
      <x:c r="A2" s="7" t="str">
        <x:v>ORCL — two chart questions</x:v>
      </x:c>
      <x:c r="B2" s="4"/>
      <x:c r="C2" s="4"/>
      <x:c r="D2" s="4"/>
      <x:c r="E2" s="2"/>
      <x:c r="F2" s="2"/>
      <x:c r="G2" s="2"/>
      <x:c r="H2" s="2"/>
      <x:c r="I2" s="2"/>
      <x:c r="J2" s="2"/>
      <x:c r="K2" s="2"/>
      <x:c r="L2" s="2"/>
      <x:c r="M2" s="2"/>
      <x:c r="N2" s="2"/>
      <x:c r="O2" s="2"/>
    </x:row>
    <x:row r="3" ht="35" customHeight="1">
      <x:c r="A3" s="8" t="str">
        <x:v>TTM 2025-09-01 to 2026-08-31. Values stored in USD, displayed in millions.</x:v>
      </x:c>
      <x:c r="B3" s="4"/>
      <x:c r="C3" s="4"/>
      <x:c r="D3" s="4"/>
      <x:c r="E3" s="2"/>
      <x:c r="F3" s="2"/>
      <x:c r="G3" s="2"/>
      <x:c r="H3" s="2"/>
      <x:c r="I3" s="2"/>
      <x:c r="J3" s="2"/>
      <x:c r="K3" s="2"/>
      <x:c r="L3" s="2"/>
      <x:c r="M3" s="2"/>
      <x:c r="N3" s="2"/>
      <x:c r="O3" s="2"/>
    </x:row>
    <x:row r="4" ht="35" customHeight="1">
      <x:c r="A4" s="4"/>
      <x:c r="B4" s="4"/>
      <x:c r="C4" s="4"/>
      <x:c r="D4" s="4"/>
      <x:c r="E4" s="2"/>
      <x:c r="F4" s="2"/>
      <x:c r="G4" s="2"/>
      <x:c r="H4" s="2"/>
      <x:c r="I4" s="2"/>
      <x:c r="J4" s="2"/>
      <x:c r="K4" s="2"/>
      <x:c r="L4" s="2"/>
      <x:c r="M4" s="2"/>
      <x:c r="N4" s="2"/>
      <x:c r="O4" s="2"/>
    </x:row>
    <x:row r="5" ht="35" customHeight="1">
      <x:c r="A5" s="13" t="str">
        <x:v>TTM measure</x:v>
      </x:c>
      <x:c r="B5" s="14" t="str">
        <x:v>USD millions</x:v>
      </x:c>
      <x:c r="C5" s="4"/>
      <x:c r="D5" s="4"/>
      <x:c r="E5" s="2"/>
      <x:c r="F5" s="2"/>
      <x:c r="G5" s="2"/>
      <x:c r="H5" s="2"/>
      <x:c r="I5" s="2"/>
      <x:c r="J5" s="2"/>
      <x:c r="K5" s="2"/>
      <x:c r="L5" s="2"/>
      <x:c r="M5" s="2"/>
      <x:c r="N5" s="2"/>
      <x:c r="O5" s="2"/>
    </x:row>
    <x:row r="6" ht="35" customHeight="1">
      <x:c r="A6" s="25" t="str">
        <x:v>Operating cash flow</x:v>
      </x:c>
      <x:c r="B6" s="309" t="n">
        <x:f>'Debt and liquidity'!B10</x:f>
        <x:v>46940000000</x:v>
      </x:c>
      <x:c r="C6" s="4"/>
      <x:c r="D6" s="4"/>
      <x:c r="E6" s="2"/>
      <x:c r="F6" s="2"/>
      <x:c r="G6" s="2"/>
      <x:c r="H6" s="2"/>
      <x:c r="I6" s="2"/>
      <x:c r="J6" s="2"/>
      <x:c r="K6" s="2"/>
      <x:c r="L6" s="2"/>
      <x:c r="M6" s="2"/>
      <x:c r="N6" s="2"/>
      <x:c r="O6" s="2"/>
    </x:row>
    <x:row r="7" ht="35" customHeight="1">
      <x:c r="A7" s="25" t="str">
        <x:v>Capital spending</x:v>
      </x:c>
      <x:c r="B7" s="309" t="n">
        <x:f>-'Debt and liquidity'!B11</x:f>
        <x:v>-75660000000</x:v>
      </x:c>
      <x:c r="C7" s="4"/>
      <x:c r="D7" s="4"/>
      <x:c r="E7" s="2"/>
      <x:c r="F7" s="2"/>
      <x:c r="G7" s="2"/>
      <x:c r="H7" s="2"/>
      <x:c r="I7" s="2"/>
      <x:c r="J7" s="2"/>
      <x:c r="K7" s="2"/>
      <x:c r="L7" s="2"/>
      <x:c r="M7" s="2"/>
      <x:c r="N7" s="2"/>
      <x:c r="O7" s="2"/>
    </x:row>
    <x:row r="8" ht="35" customHeight="1">
      <x:c r="A8" s="26" t="str">
        <x:v>Free cash flow</x:v>
      </x:c>
      <x:c r="B8" s="310" t="n">
        <x:f>'Debt and liquidity'!B12</x:f>
        <x:v>-28720000000</x:v>
      </x:c>
      <x:c r="C8" s="4"/>
      <x:c r="D8" s="4"/>
      <x:c r="E8" s="2"/>
      <x:c r="F8" s="2"/>
      <x:c r="G8" s="2"/>
      <x:c r="H8" s="2"/>
      <x:c r="I8" s="2"/>
      <x:c r="J8" s="2"/>
      <x:c r="K8" s="2"/>
      <x:c r="L8" s="2"/>
      <x:c r="M8" s="2"/>
      <x:c r="N8" s="2"/>
      <x:c r="O8" s="2"/>
    </x:row>
    <x:row r="9" ht="35" customHeight="1">
      <x:c r="A9" s="4"/>
      <x:c r="B9" s="4"/>
      <x:c r="C9" s="4"/>
      <x:c r="D9" s="4"/>
      <x:c r="E9" s="2"/>
      <x:c r="F9" s="2"/>
      <x:c r="G9" s="2"/>
      <x:c r="H9" s="2"/>
      <x:c r="I9" s="2"/>
      <x:c r="J9" s="2"/>
      <x:c r="K9" s="2"/>
      <x:c r="L9" s="2"/>
      <x:c r="M9" s="2"/>
      <x:c r="N9" s="2"/>
      <x:c r="O9" s="2"/>
    </x:row>
    <x:row r="10" ht="80" customHeight="1">
      <x:c r="A10" s="4" t="str">
        <x:v>Calculation basis</x:v>
      </x:c>
      <x:c r="B10" s="4"/>
      <x:c r="C10" s="4"/>
      <x:c r="D10" s="4" t="str">
        <x:v>FCF = OCF − capital spending. FCF is a result, not an additional cash flow. Capital spending is shown negative.</x:v>
      </x:c>
      <x:c r="E10" s="2"/>
      <x:c r="F10" s="2"/>
      <x:c r="G10" s="2"/>
      <x:c r="H10" s="2"/>
      <x:c r="I10" s="2"/>
      <x:c r="J10" s="2"/>
      <x:c r="K10" s="2"/>
      <x:c r="L10" s="2"/>
      <x:c r="M10" s="2"/>
      <x:c r="N10" s="2"/>
      <x:c r="O10" s="2"/>
    </x:row>
    <x:row r="11" ht="35" customHeight="1">
      <x:c r="A11" s="4"/>
      <x:c r="B11" s="4"/>
      <x:c r="C11" s="4"/>
      <x:c r="D11" s="4"/>
      <x:c r="E11" s="2"/>
      <x:c r="F11" s="2"/>
      <x:c r="G11" s="2"/>
      <x:c r="H11" s="2"/>
      <x:c r="I11" s="2"/>
      <x:c r="J11" s="2"/>
      <x:c r="K11" s="2"/>
      <x:c r="L11" s="2"/>
      <x:c r="M11" s="2"/>
      <x:c r="N11" s="2"/>
      <x:c r="O11" s="2"/>
    </x:row>
    <x:row r="12" ht="35" customHeight="1">
      <x:c r="A12" s="4"/>
      <x:c r="B12" s="4"/>
      <x:c r="C12" s="4"/>
      <x:c r="D12" s="4"/>
      <x:c r="E12" s="2"/>
      <x:c r="F12" s="2"/>
      <x:c r="G12" s="2"/>
      <x:c r="H12" s="2"/>
      <x:c r="I12" s="2"/>
      <x:c r="J12" s="2"/>
      <x:c r="K12" s="2"/>
      <x:c r="L12" s="2"/>
      <x:c r="M12" s="2"/>
      <x:c r="N12" s="2"/>
      <x:c r="O12" s="2"/>
    </x:row>
    <x:row r="13" ht="35" customHeight="1">
      <x:c r="A13" s="4"/>
      <x:c r="B13" s="4"/>
      <x:c r="C13" s="4"/>
      <x:c r="D13" s="4"/>
      <x:c r="E13" s="2"/>
      <x:c r="F13" s="2"/>
      <x:c r="G13" s="2"/>
      <x:c r="H13" s="2"/>
      <x:c r="I13" s="2"/>
      <x:c r="J13" s="2"/>
      <x:c r="K13" s="2"/>
      <x:c r="L13" s="2"/>
      <x:c r="M13" s="2"/>
      <x:c r="N13" s="2"/>
      <x:c r="O13" s="2"/>
    </x:row>
    <x:row r="14" ht="35" customHeight="1">
      <x:c r="A14" s="4"/>
      <x:c r="B14" s="4"/>
      <x:c r="C14" s="4"/>
      <x:c r="D14" s="4"/>
      <x:c r="E14" s="2"/>
      <x:c r="F14" s="2"/>
      <x:c r="G14" s="2"/>
      <x:c r="H14" s="2"/>
      <x:c r="I14" s="2"/>
      <x:c r="J14" s="2"/>
      <x:c r="K14" s="2"/>
      <x:c r="L14" s="2"/>
      <x:c r="M14" s="2"/>
      <x:c r="N14" s="2"/>
      <x:c r="O14" s="2"/>
    </x:row>
    <x:row r="15" ht="35" customHeight="1">
      <x:c r="A15" s="4"/>
      <x:c r="B15" s="4"/>
      <x:c r="C15" s="4"/>
      <x:c r="D15" s="4"/>
      <x:c r="E15" s="2"/>
      <x:c r="F15" s="2"/>
      <x:c r="G15" s="2"/>
      <x:c r="H15" s="2"/>
      <x:c r="I15" s="2"/>
      <x:c r="J15" s="2"/>
      <x:c r="K15" s="2"/>
      <x:c r="L15" s="2"/>
      <x:c r="M15" s="2"/>
      <x:c r="N15" s="2"/>
      <x:c r="O15" s="2"/>
    </x:row>
    <x:row r="16" ht="35" customHeight="1">
      <x:c r="A16" s="4"/>
      <x:c r="B16" s="4"/>
      <x:c r="C16" s="4"/>
      <x:c r="D16" s="4"/>
      <x:c r="E16" s="2"/>
      <x:c r="F16" s="2"/>
      <x:c r="G16" s="2"/>
      <x:c r="H16" s="2"/>
      <x:c r="I16" s="2"/>
      <x:c r="J16" s="2"/>
      <x:c r="K16" s="2"/>
      <x:c r="L16" s="2"/>
      <x:c r="M16" s="2"/>
      <x:c r="N16" s="2"/>
      <x:c r="O16" s="2"/>
    </x:row>
    <x:row r="17" ht="35" customHeight="1">
      <x:c r="A17" s="4"/>
      <x:c r="B17" s="4"/>
      <x:c r="C17" s="4"/>
      <x:c r="D17" s="4"/>
      <x:c r="E17" s="2"/>
      <x:c r="F17" s="2"/>
      <x:c r="G17" s="2"/>
      <x:c r="H17" s="2"/>
      <x:c r="I17" s="2"/>
      <x:c r="J17" s="2"/>
      <x:c r="K17" s="2"/>
      <x:c r="L17" s="2"/>
      <x:c r="M17" s="2"/>
      <x:c r="N17" s="2"/>
      <x:c r="O17" s="2"/>
    </x:row>
    <x:row r="18" ht="35" customHeight="1">
      <x:c r="A18" s="4"/>
      <x:c r="B18" s="4"/>
      <x:c r="C18" s="4"/>
      <x:c r="D18" s="4"/>
      <x:c r="E18" s="2"/>
      <x:c r="F18" s="2"/>
      <x:c r="G18" s="2"/>
      <x:c r="H18" s="2"/>
      <x:c r="I18" s="2"/>
      <x:c r="J18" s="2"/>
      <x:c r="K18" s="2"/>
      <x:c r="L18" s="2"/>
      <x:c r="M18" s="2"/>
      <x:c r="N18" s="2"/>
      <x:c r="O18" s="2"/>
    </x:row>
    <x:row r="19" ht="35" customHeight="1">
      <x:c r="A19" s="4"/>
      <x:c r="B19" s="4"/>
      <x:c r="C19" s="4"/>
      <x:c r="D19" s="4"/>
      <x:c r="E19" s="2"/>
      <x:c r="F19" s="2"/>
      <x:c r="G19" s="2"/>
      <x:c r="H19" s="2"/>
      <x:c r="I19" s="2"/>
      <x:c r="J19" s="2"/>
      <x:c r="K19" s="2"/>
      <x:c r="L19" s="2"/>
      <x:c r="M19" s="2"/>
      <x:c r="N19" s="2"/>
      <x:c r="O19" s="2"/>
    </x:row>
    <x:row r="20" ht="35" customHeight="1">
      <x:c r="A20" s="4"/>
      <x:c r="B20" s="4"/>
      <x:c r="C20" s="4"/>
      <x:c r="D20" s="4"/>
      <x:c r="E20" s="2"/>
      <x:c r="F20" s="2"/>
      <x:c r="G20" s="2"/>
      <x:c r="H20" s="2"/>
      <x:c r="I20" s="2"/>
      <x:c r="J20" s="2"/>
      <x:c r="K20" s="2"/>
      <x:c r="L20" s="2"/>
      <x:c r="M20" s="2"/>
      <x:c r="N20" s="2"/>
      <x:c r="O20" s="2"/>
    </x:row>
    <x:row r="21" ht="35" customHeight="1">
      <x:c r="A21" s="4"/>
      <x:c r="B21" s="4"/>
      <x:c r="C21" s="4"/>
      <x:c r="D21" s="4"/>
      <x:c r="E21" s="2"/>
      <x:c r="F21" s="2"/>
      <x:c r="G21" s="2"/>
      <x:c r="H21" s="2"/>
      <x:c r="I21" s="2"/>
      <x:c r="J21" s="2"/>
      <x:c r="K21" s="2"/>
      <x:c r="L21" s="2"/>
      <x:c r="M21" s="2"/>
      <x:c r="N21" s="2"/>
      <x:c r="O21" s="2"/>
    </x:row>
    <x:row r="22" ht="35" customHeight="1">
      <x:c r="A22" s="4"/>
      <x:c r="B22" s="4"/>
      <x:c r="C22" s="4"/>
      <x:c r="D22" s="4"/>
      <x:c r="E22" s="2"/>
      <x:c r="F22" s="2"/>
      <x:c r="G22" s="2"/>
      <x:c r="H22" s="2"/>
      <x:c r="I22" s="2"/>
      <x:c r="J22" s="2"/>
      <x:c r="K22" s="2"/>
      <x:c r="L22" s="2"/>
      <x:c r="M22" s="2"/>
      <x:c r="N22" s="2"/>
      <x:c r="O22" s="2"/>
    </x:row>
    <x:row r="23" ht="35" customHeight="1">
      <x:c r="A23" s="4"/>
      <x:c r="B23" s="4"/>
      <x:c r="C23" s="4"/>
      <x:c r="D23" s="4"/>
      <x:c r="E23" s="2"/>
      <x:c r="F23" s="2"/>
      <x:c r="G23" s="2"/>
      <x:c r="H23" s="2"/>
      <x:c r="I23" s="2"/>
      <x:c r="J23" s="2"/>
      <x:c r="K23" s="2"/>
      <x:c r="L23" s="2"/>
      <x:c r="M23" s="2"/>
      <x:c r="N23" s="2"/>
      <x:c r="O23" s="2"/>
    </x:row>
    <x:row r="24" ht="35" customHeight="1">
      <x:c r="A24" s="13" t="str">
        <x:v>Balance-sheet date</x:v>
      </x:c>
      <x:c r="B24" s="219" t="str">
        <x:v>Cash and equivalents</x:v>
      </x:c>
      <x:c r="C24" s="14" t="str">
        <x:v>Baseline borrowing</x:v>
      </x:c>
      <x:c r="D24" s="4"/>
      <x:c r="E24" s="2"/>
      <x:c r="F24" s="2"/>
      <x:c r="G24" s="2"/>
      <x:c r="H24" s="2"/>
      <x:c r="I24" s="2"/>
      <x:c r="J24" s="2"/>
      <x:c r="K24" s="2"/>
      <x:c r="L24" s="2"/>
      <x:c r="M24" s="2"/>
      <x:c r="N24" s="2"/>
      <x:c r="O24" s="2"/>
    </x:row>
    <x:row r="25" ht="35" customHeight="1">
      <x:c r="A25" s="25" t="str">
        <x:v>2026-05-31</x:v>
      </x:c>
      <x:c r="B25" s="241" t="n">
        <x:f>'History'!B6</x:f>
        <x:v>31289000000</x:v>
      </x:c>
      <x:c r="C25" s="309" t="n">
        <x:f>'History'!B7</x:f>
        <x:v>129541000000</x:v>
      </x:c>
      <x:c r="D25" s="4"/>
      <x:c r="E25" s="2"/>
      <x:c r="F25" s="2"/>
      <x:c r="G25" s="2"/>
      <x:c r="H25" s="2"/>
      <x:c r="I25" s="2"/>
      <x:c r="J25" s="2"/>
      <x:c r="K25" s="2"/>
      <x:c r="L25" s="2"/>
      <x:c r="M25" s="2"/>
      <x:c r="N25" s="2"/>
      <x:c r="O25" s="2"/>
    </x:row>
    <x:row r="26" ht="35" customHeight="1">
      <x:c r="A26" s="26" t="str">
        <x:v>2026-08-31</x:v>
      </x:c>
      <x:c r="B26" s="311" t="n">
        <x:f>'History'!C6</x:f>
        <x:v>36369000000</x:v>
      </x:c>
      <x:c r="C26" s="310" t="n">
        <x:f>'History'!C7</x:f>
        <x:v>125337000000</x:v>
      </x:c>
      <x:c r="D26" s="4"/>
      <x:c r="E26" s="2"/>
      <x:c r="F26" s="2"/>
      <x:c r="G26" s="2"/>
      <x:c r="H26" s="2"/>
      <x:c r="I26" s="2"/>
      <x:c r="J26" s="2"/>
      <x:c r="K26" s="2"/>
      <x:c r="L26" s="2"/>
      <x:c r="M26" s="2"/>
      <x:c r="N26" s="2"/>
      <x:c r="O26" s="2"/>
    </x:row>
    <x:row r="27" ht="35" customHeight="1">
      <x:c r="A27" s="4"/>
      <x:c r="B27" s="4"/>
      <x:c r="C27" s="4"/>
      <x:c r="D27" s="4"/>
      <x:c r="E27" s="2"/>
      <x:c r="F27" s="2"/>
      <x:c r="G27" s="2"/>
      <x:c r="H27" s="2"/>
      <x:c r="I27" s="2"/>
      <x:c r="J27" s="2"/>
      <x:c r="K27" s="2"/>
      <x:c r="L27" s="2"/>
      <x:c r="M27" s="2"/>
      <x:c r="N27" s="2"/>
      <x:c r="O27" s="2"/>
    </x:row>
    <x:row r="28" ht="35" customHeight="1">
      <x:c r="A28" s="4"/>
      <x:c r="B28" s="4"/>
      <x:c r="C28" s="4"/>
      <x:c r="D28" s="4"/>
      <x:c r="E28" s="2"/>
      <x:c r="F28" s="2"/>
      <x:c r="G28" s="2"/>
      <x:c r="H28" s="2"/>
      <x:c r="I28" s="2"/>
      <x:c r="J28" s="2"/>
      <x:c r="K28" s="2"/>
      <x:c r="L28" s="2"/>
      <x:c r="M28" s="2"/>
      <x:c r="N28" s="2"/>
      <x:c r="O28" s="2"/>
    </x:row>
    <x:row r="29" ht="95" customHeight="1">
      <x:c r="A29" s="4" t="str">
        <x:v>Scope / missing history</x:v>
      </x:c>
      <x:c r="B29" s="4"/>
      <x:c r="C29" s="4"/>
      <x:c r="D29" s="4" t="str">
        <x:v>Baseline borrowing excludes leases; cash excludes restricted cash and investments. These balances do not establish repayment coverage.</x:v>
      </x:c>
      <x:c r="E29" s="2"/>
      <x:c r="F29" s="2"/>
      <x:c r="G29" s="2"/>
      <x:c r="H29" s="2"/>
      <x:c r="I29" s="2"/>
      <x:c r="J29" s="2"/>
      <x:c r="K29" s="2"/>
      <x:c r="L29" s="2"/>
      <x:c r="M29" s="2"/>
      <x:c r="N29" s="2"/>
      <x:c r="O29" s="2"/>
    </x:row>
    <x:row r="30" ht="35" customHeight="1">
      <x:c r="A30" s="4"/>
      <x:c r="B30" s="4"/>
      <x:c r="C30" s="4"/>
      <x:c r="D30" s="4"/>
      <x:c r="E30" s="2"/>
      <x:c r="F30" s="2"/>
      <x:c r="G30" s="2"/>
      <x:c r="H30" s="2"/>
      <x:c r="I30" s="2"/>
      <x:c r="J30" s="2"/>
      <x:c r="K30" s="2"/>
      <x:c r="L30" s="2"/>
      <x:c r="M30" s="2"/>
      <x:c r="N30" s="2"/>
      <x:c r="O30" s="2"/>
    </x:row>
    <x:row r="31" ht="35" customHeight="1">
      <x:c r="A31" s="4"/>
      <x:c r="B31" s="4"/>
      <x:c r="C31" s="4"/>
      <x:c r="D31" s="4"/>
      <x:c r="E31" s="2"/>
      <x:c r="F31" s="2"/>
      <x:c r="G31" s="2"/>
      <x:c r="H31" s="2"/>
      <x:c r="I31" s="2"/>
      <x:c r="J31" s="2"/>
      <x:c r="K31" s="2"/>
      <x:c r="L31" s="2"/>
      <x:c r="M31" s="2"/>
      <x:c r="N31" s="2"/>
      <x:c r="O31" s="2"/>
    </x:row>
    <x:row r="32" ht="35" customHeight="1">
      <x:c r="A32" s="4"/>
      <x:c r="B32" s="4"/>
      <x:c r="C32" s="4"/>
      <x:c r="D32" s="4"/>
      <x:c r="E32" s="2"/>
      <x:c r="F32" s="2"/>
      <x:c r="G32" s="2"/>
      <x:c r="H32" s="2"/>
      <x:c r="I32" s="2"/>
      <x:c r="J32" s="2"/>
      <x:c r="K32" s="2"/>
      <x:c r="L32" s="2"/>
      <x:c r="M32" s="2"/>
      <x:c r="N32" s="2"/>
      <x:c r="O32" s="2"/>
    </x:row>
    <x:row r="33" ht="35" customHeight="1">
      <x:c r="A33" s="4"/>
      <x:c r="B33" s="4"/>
      <x:c r="C33" s="4"/>
      <x:c r="D33" s="4"/>
      <x:c r="E33" s="2"/>
      <x:c r="F33" s="2"/>
      <x:c r="G33" s="2"/>
      <x:c r="H33" s="2"/>
      <x:c r="I33" s="2"/>
      <x:c r="J33" s="2"/>
      <x:c r="K33" s="2"/>
      <x:c r="L33" s="2"/>
      <x:c r="M33" s="2"/>
      <x:c r="N33" s="2"/>
      <x:c r="O33" s="2"/>
    </x:row>
    <x:row r="34" ht="35" customHeight="1">
      <x:c r="A34" s="4"/>
      <x:c r="B34" s="4"/>
      <x:c r="C34" s="4"/>
      <x:c r="D34" s="4"/>
      <x:c r="E34" s="2"/>
      <x:c r="F34" s="2"/>
      <x:c r="G34" s="2"/>
      <x:c r="H34" s="2"/>
      <x:c r="I34" s="2"/>
      <x:c r="J34" s="2"/>
      <x:c r="K34" s="2"/>
      <x:c r="L34" s="2"/>
      <x:c r="M34" s="2"/>
      <x:c r="N34" s="2"/>
      <x:c r="O34" s="2"/>
    </x:row>
    <x:row r="35" ht="35" customHeight="1">
      <x:c r="A35" s="4"/>
      <x:c r="B35" s="4"/>
      <x:c r="C35" s="4"/>
      <x:c r="D35" s="4"/>
      <x:c r="E35" s="2"/>
      <x:c r="F35" s="2"/>
      <x:c r="G35" s="2"/>
      <x:c r="H35" s="2"/>
      <x:c r="I35" s="2"/>
      <x:c r="J35" s="2"/>
      <x:c r="K35" s="2"/>
      <x:c r="L35" s="2"/>
      <x:c r="M35" s="2"/>
      <x:c r="N35" s="2"/>
      <x:c r="O35" s="2"/>
    </x:row>
    <x:row r="36" ht="35" customHeight="1">
      <x:c r="A36" s="4"/>
      <x:c r="B36" s="4"/>
      <x:c r="C36" s="4"/>
      <x:c r="D36" s="4"/>
      <x:c r="E36" s="2"/>
      <x:c r="F36" s="2"/>
      <x:c r="G36" s="2"/>
      <x:c r="H36" s="2"/>
      <x:c r="I36" s="2"/>
      <x:c r="J36" s="2"/>
      <x:c r="K36" s="2"/>
      <x:c r="L36" s="2"/>
      <x:c r="M36" s="2"/>
      <x:c r="N36" s="2"/>
      <x:c r="O36" s="2"/>
    </x:row>
    <x:row r="37" ht="35" customHeight="1">
      <x:c r="A37" s="4"/>
      <x:c r="B37" s="4"/>
      <x:c r="C37" s="4"/>
      <x:c r="D37" s="4"/>
      <x:c r="E37" s="2"/>
      <x:c r="F37" s="2"/>
      <x:c r="G37" s="2"/>
      <x:c r="H37" s="2"/>
      <x:c r="I37" s="2"/>
      <x:c r="J37" s="2"/>
      <x:c r="K37" s="2"/>
      <x:c r="L37" s="2"/>
      <x:c r="M37" s="2"/>
      <x:c r="N37" s="2"/>
      <x:c r="O37" s="2"/>
    </x:row>
    <x:row r="38" ht="35" customHeight="1">
      <x:c r="A38" s="4"/>
      <x:c r="B38" s="4"/>
      <x:c r="C38" s="4"/>
      <x:c r="D38" s="4"/>
      <x:c r="E38" s="2"/>
      <x:c r="F38" s="2"/>
      <x:c r="G38" s="2"/>
      <x:c r="H38" s="2"/>
      <x:c r="I38" s="2"/>
      <x:c r="J38" s="2"/>
      <x:c r="K38" s="2"/>
      <x:c r="L38" s="2"/>
      <x:c r="M38" s="2"/>
      <x:c r="N38" s="2"/>
      <x:c r="O38" s="2"/>
    </x:row>
    <x:row r="39" ht="35" customHeight="1">
      <x:c r="A39" s="4"/>
      <x:c r="B39" s="4"/>
      <x:c r="C39" s="4"/>
      <x:c r="D39" s="4"/>
      <x:c r="E39" s="2"/>
      <x:c r="F39" s="2"/>
      <x:c r="G39" s="2"/>
      <x:c r="H39" s="2"/>
      <x:c r="I39" s="2"/>
      <x:c r="J39" s="2"/>
      <x:c r="K39" s="2"/>
      <x:c r="L39" s="2"/>
      <x:c r="M39" s="2"/>
      <x:c r="N39" s="2"/>
      <x:c r="O39" s="2"/>
    </x:row>
    <x:row r="40" ht="35" customHeight="1">
      <x:c r="A40" s="4"/>
      <x:c r="B40" s="4"/>
      <x:c r="C40" s="4"/>
      <x:c r="D40" s="4"/>
      <x:c r="E40" s="2"/>
      <x:c r="F40" s="2"/>
      <x:c r="G40" s="2"/>
      <x:c r="H40" s="2"/>
      <x:c r="I40" s="2"/>
      <x:c r="J40" s="2"/>
      <x:c r="K40" s="2"/>
      <x:c r="L40" s="2"/>
      <x:c r="M40" s="2"/>
      <x:c r="N40" s="2"/>
      <x:c r="O40" s="2"/>
    </x:row>
    <x:row r="41" ht="65" customHeight="1">
      <x:c r="A41" s="4" t="str">
        <x:v>Evidence trail</x:v>
      </x:c>
      <x:c r="B41" s="4"/>
      <x:c r="C41" s="4"/>
      <x:c r="D41" s="4" t="str">
        <x:v>Chart values link to Debt and liquidity and History. Data retains the exact input periods, tags, accessions and source URLs.</x:v>
      </x:c>
      <x:c r="E41" s="2"/>
      <x:c r="F41" s="2"/>
      <x:c r="G41" s="2"/>
      <x:c r="H41" s="2"/>
      <x:c r="I41" s="2"/>
      <x:c r="J41" s="2"/>
      <x:c r="K41" s="2"/>
      <x:c r="L41" s="2"/>
      <x:c r="M41" s="2"/>
      <x:c r="N41" s="2"/>
      <x:c r="O41" s="2"/>
    </x:row>
    <x:row r="42" ht="35" customHeight="1">
      <x:c r="A42" s="4"/>
      <x:c r="B42" s="4"/>
      <x:c r="C42" s="4"/>
      <x:c r="D42" s="4"/>
      <x:c r="E42" s="2"/>
      <x:c r="F42" s="2"/>
      <x:c r="G42" s="2"/>
      <x:c r="H42" s="2"/>
      <x:c r="I42" s="2"/>
      <x:c r="J42" s="2"/>
      <x:c r="K42" s="2"/>
      <x:c r="L42" s="2"/>
      <x:c r="M42" s="2"/>
      <x:c r="N42" s="2"/>
      <x:c r="O42" s="2"/>
    </x:row>
    <x:row r="43" ht="35" customHeight="1">
      <x:c r="A43" s="4"/>
      <x:c r="B43" s="4"/>
      <x:c r="C43" s="4"/>
      <x:c r="D43" s="4"/>
      <x:c r="E43" s="2"/>
      <x:c r="F43" s="2"/>
      <x:c r="G43" s="2"/>
      <x:c r="H43" s="2"/>
      <x:c r="I43" s="2"/>
      <x:c r="J43" s="2"/>
      <x:c r="K43" s="2"/>
      <x:c r="L43" s="2"/>
      <x:c r="M43" s="2"/>
      <x:c r="N43" s="2"/>
      <x:c r="O43" s="2"/>
    </x:row>
  </x:sheetData>
  <x:pageMargins left="0.7" right="0.7" top="0.75" bottom="0.75" header="0.3" footer="0.3"/>
  <x:drawing xmlns:r="http://schemas.openxmlformats.org/officeDocument/2006/relationships" r:id="R87f0ab612d5b48b5"/>
</x:worksheet>
</file>

<file path=xl/worksheets/sheet6.xml><?xml version="1.0" encoding="utf-8"?>
<x:worksheet xmlns:x="http://schemas.openxmlformats.org/spreadsheetml/2006/main">
  <x:sheetViews>
    <x:sheetView showGridLines="0" workbookViewId="0"/>
  </x:sheetViews>
  <x:sheetFormatPr defaultRowHeight="15"/>
  <x:cols>
    <x:col min="1" max="1" width="26" hidden="0" customWidth="1"/>
    <x:col min="2" max="2" width="31" hidden="0" customWidth="1"/>
    <x:col min="3" max="3" width="23" hidden="0" customWidth="1"/>
    <x:col min="4" max="4" width="66" hidden="0" customWidth="1"/>
    <x:col min="5" max="5" width="36" hidden="0" customWidth="1"/>
    <x:col min="6" max="6" width="26" hidden="0" customWidth="1"/>
    <x:col min="7" max="7" width="100" hidden="0" customWidth="1"/>
  </x:cols>
  <x:sheetData>
    <x:row r="2" ht="24" customHeight="1">
      <x:c r="A2" s="71" t="str">
        <x:v>Oracle repayment funding review</x:v>
      </x:c>
      <x:c r="B2" s="40"/>
      <x:c r="C2" s="40"/>
      <x:c r="D2" s="40"/>
      <x:c r="E2" s="40"/>
      <x:c r="F2" s="40"/>
      <x:c r="G2" s="40"/>
    </x:row>
    <x:row r="3" ht="24" customHeight="1">
      <x:c r="A3" s="40" t="str">
        <x:v>At August 31, 2026. USD millions. Future coverage is Unavailable; no combined funding total.</x:v>
      </x:c>
      <x:c r="B3" s="40"/>
      <x:c r="C3" s="40"/>
      <x:c r="D3" s="40"/>
      <x:c r="E3" s="40"/>
      <x:c r="F3" s="40"/>
      <x:c r="G3" s="40"/>
    </x:row>
    <x:row r="4" ht="24" customHeight="1">
      <x:c r="A4" s="40"/>
      <x:c r="B4" s="40"/>
      <x:c r="C4" s="40"/>
      <x:c r="D4" s="40"/>
      <x:c r="E4" s="40"/>
      <x:c r="F4" s="40"/>
      <x:c r="G4" s="40"/>
    </x:row>
    <x:row r="5" ht="48" customHeight="1">
      <x:c r="A5" s="142" t="str">
        <x:v>Resource</x:v>
      </x:c>
      <x:c r="B5" s="152" t="str">
        <x:v>USD millions</x:v>
      </x:c>
      <x:c r="C5" s="152" t="str">
        <x:v>Date / period</x:v>
      </x:c>
      <x:c r="D5" s="152" t="str">
        <x:v>Available for future payments?</x:v>
      </x:c>
      <x:c r="E5" s="143" t="str">
        <x:v>Evidence / condition</x:v>
      </x:c>
      <x:c r="F5" s="74"/>
      <x:c r="G5" s="74"/>
    </x:row>
    <x:row r="6" ht="100" customHeight="1">
      <x:c r="A6" s="89" t="str">
        <x:v>Cash excluding restricted cash</x:v>
      </x:c>
      <x:c r="B6" s="193" t="n">
        <x:f>IF(ISNUMBER('Data'!B21),'Data'!B21,NA())</x:f>
        <x:v>36369000000</x:v>
      </x:c>
      <x:c r="C6" s="167" t="str">
        <x:v>2026-08-31</x:v>
      </x:c>
      <x:c r="D6" s="167" t="str">
        <x:v>Not allocated; future availability Unavailable</x:v>
      </x:c>
      <x:c r="E6" s="169" t="str">
        <x:v>August cash pool, not reserved for future payments. Operating needs, capital spending and other obligations compete for it. Availability at payment dates is Unavailable.</x:v>
      </x:c>
      <x:c r="F6" s="74"/>
      <x:c r="G6" s="74"/>
    </x:row>
    <x:row r="7" ht="100" customHeight="1">
      <x:c r="A7" s="89" t="str">
        <x:v>Restricted cash</x:v>
      </x:c>
      <x:c r="B7" s="193" t="n">
        <x:f>'Cash analysis'!B21</x:f>
        <x:v>2565000000</x:v>
      </x:c>
      <x:c r="C7" s="167" t="str">
        <x:v>2026-08-31</x:v>
      </x:c>
      <x:c r="D7" s="167" t="str">
        <x:v>Excluded</x:v>
      </x:c>
      <x:c r="E7" s="169" t="str">
        <x:v>Excluded from the general repayment pool. Release timing and permitted uses are Unavailable.</x:v>
      </x:c>
      <x:c r="F7" s="74"/>
      <x:c r="G7" s="74"/>
    </x:row>
    <x:row r="8" ht="100" customHeight="1">
      <x:c r="A8" s="89" t="str">
        <x:v>Reported operating cash flow</x:v>
      </x:c>
      <x:c r="B8" s="193" t="n">
        <x:f>IF(ISNUMBER('Data'!B2),'Data'!B2,NA())</x:f>
        <x:v>23103000000</x:v>
      </x:c>
      <x:c r="C8" s="167" t="str">
        <x:v>2026-06-01 to 2026-08-31</x:v>
      </x:c>
      <x:c r="D8" s="167" t="str">
        <x:v>Historical flow; already in cash</x:v>
      </x:c>
      <x:c r="E8" s="169" t="str">
        <x:v>Historical cash generation, including the specified prepayments. Already reflected in closing cash. Future OCF and future operating costs are Unavailable.</x:v>
      </x:c>
      <x:c r="F8" s="74"/>
      <x:c r="G8" s="74"/>
    </x:row>
    <x:row r="9" ht="100" customHeight="1">
      <x:c r="A9" s="89" t="str">
        <x:v>Specified customer prepayments</x:v>
      </x:c>
      <x:c r="B9" s="193" t="n">
        <x:f>IF(ISNUMBER('Data'!B3),'Data'!B3,NA())</x:f>
        <x:v>11363000000</x:v>
      </x:c>
      <x:c r="C9" s="167" t="str">
        <x:v>2026-06-01 to 2026-08-31</x:v>
      </x:c>
      <x:c r="D9" s="167" t="str">
        <x:v>Historical flow; already in cash</x:v>
      </x:c>
      <x:c r="E9" s="169" t="str">
        <x:v>Part of reported OCF and already in closing cash. Supports future customer performance obligations. Future prepayments and related service costs are Unavailable.</x:v>
      </x:c>
      <x:c r="F9" s="74"/>
      <x:c r="G9" s="74"/>
    </x:row>
    <x:row r="10" ht="100" customHeight="1">
      <x:c r="A10" s="89" t="str">
        <x:v>ATM equity proceeds, net</x:v>
      </x:c>
      <x:c r="B10" s="193" t="n">
        <x:f>IF(ISNUMBER('Data'!B8),'Data'!B8,NA())</x:f>
        <x:v>19909000000</x:v>
      </x:c>
      <x:c r="C10" s="167" t="str">
        <x:v>2026-06-01 to 2026-08-31</x:v>
      </x:c>
      <x:c r="D10" s="167" t="str">
        <x:v>Historical flow; already in cash</x:v>
      </x:c>
      <x:c r="E10" s="169" t="str">
        <x:v>Already in closing cash. The $20B gross ATM program was fully utilized. No unused capacity or additional future equity proceeds are established.</x:v>
      </x:c>
      <x:c r="F10" s="74"/>
      <x:c r="G10" s="74"/>
    </x:row>
    <x:row r="11" ht="130" customHeight="1">
      <x:c r="A11" s="100" t="str">
        <x:v>Original revolver commitment</x:v>
      </x:c>
      <x:c r="B11" s="194" t="n">
        <x:f>IF(ISNUMBER('Data'!B57),'Data'!B57,NA())</x:f>
        <x:v>10000000000</x:v>
      </x:c>
      <x:c r="C11" s="172" t="str">
        <x:v>2026-03-06 to 2031-03-06</x:v>
      </x:c>
      <x:c r="D11" s="172" t="str">
        <x:v>Drawable capacity Unavailable</x:v>
      </x:c>
      <x:c r="E11" s="174" t="str">
        <x:v>Potential working-capital and general corporate financing under §2.21, subject to §4.02 draw conditions and the contractual covenant. May 31 undrawn commitment was $10B. An amount actually drawable is Unavailable at each reviewed date, including August 31. No extension beyond March 6, 2031 is assumed. Commercial-paper capacity is not added.</x:v>
      </x:c>
      <x:c r="F11" s="74"/>
      <x:c r="G11" s="74"/>
    </x:row>
    <x:row r="12" ht="24" customHeight="1">
      <x:c r="A12" s="74"/>
      <x:c r="B12" s="74"/>
      <x:c r="C12" s="74"/>
      <x:c r="D12" s="74"/>
      <x:c r="E12" s="74"/>
      <x:c r="F12" s="74"/>
      <x:c r="G12" s="74"/>
    </x:row>
    <x:row r="13" ht="46" customHeight="1">
      <x:c r="A13" s="74" t="str">
        <x:v>Shared cash pool</x:v>
      </x:c>
      <x:c r="B13" s="74"/>
      <x:c r="C13" s="74"/>
      <x:c r="D13" s="74" t="str">
        <x:v>OCF, prepayments and equity proceeds are already in closing cash and are not added again.</x:v>
      </x:c>
      <x:c r="E13" s="74"/>
      <x:c r="F13" s="74"/>
      <x:c r="G13" s="74"/>
    </x:row>
    <x:row r="14" ht="24" customHeight="1">
      <x:c r="A14" s="74"/>
      <x:c r="B14" s="74"/>
      <x:c r="C14" s="74"/>
      <x:c r="D14" s="74"/>
      <x:c r="E14" s="74"/>
      <x:c r="F14" s="74"/>
      <x:c r="G14" s="74"/>
    </x:row>
    <x:row r="15" ht="48" customHeight="1">
      <x:c r="A15" s="142" t="str">
        <x:v>Due period</x:v>
      </x:c>
      <x:c r="B15" s="152" t="str">
        <x:v>Obligation</x:v>
      </x:c>
      <x:c r="C15" s="152" t="str">
        <x:v>USD millions</x:v>
      </x:c>
      <x:c r="D15" s="152" t="str">
        <x:v>Potential funding</x:v>
      </x:c>
      <x:c r="E15" s="152" t="str">
        <x:v>Confirmed funds at due date, USD millions</x:v>
      </x:c>
      <x:c r="F15" s="152" t="str">
        <x:v>Coverage (x)</x:v>
      </x:c>
      <x:c r="G15" s="143" t="str">
        <x:v>Competing uses / missing evidence</x:v>
      </x:c>
    </x:row>
    <x:row r="16" ht="65" customHeight="1">
      <x:c r="A16" s="89" t="str">
        <x:v>Remainder FY2027</x:v>
      </x:c>
      <x:c r="B16" s="167" t="str">
        <x:v>Operating leases</x:v>
      </x:c>
      <x:c r="C16" s="193" t="n">
        <x:f>IF(ISNUMBER('Data'!B23),'Data'!B23,NA())</x:f>
        <x:v>3219000000</x:v>
      </x:c>
      <x:c r="D16" s="167" t="str">
        <x:v>August cash pool; conditional revolver. No payment allocation established.</x:v>
      </x:c>
      <x:c r="E16" s="113"/>
      <x:c r="F16" s="167" t="str">
        <x:v>Unavailable</x:v>
      </x:c>
      <x:c r="G16" s="169" t="str">
        <x:v>Operating needs and capex also use cash. Do not deduct lease payments already inside OCF twice. Dated cash allocation, future OCF and drawable credit are not established.</x:v>
      </x:c>
    </x:row>
    <x:row r="17" ht="65" customHeight="1">
      <x:c r="A17" s="89" t="str">
        <x:v>Remainder FY2027</x:v>
      </x:c>
      <x:c r="B17" s="167" t="str">
        <x:v>Finance leases</x:v>
      </x:c>
      <x:c r="C17" s="193" t="n">
        <x:f>IF(ISNUMBER('Data'!B30),'Data'!B30,NA())</x:f>
        <x:v>620000000</x:v>
      </x:c>
      <x:c r="D17" s="167" t="str">
        <x:v>August cash pool; conditional revolver. No payment allocation established.</x:v>
      </x:c>
      <x:c r="E17" s="113"/>
      <x:c r="F17" s="167" t="str">
        <x:v>Unavailable</x:v>
      </x:c>
      <x:c r="G17" s="169" t="str">
        <x:v>Includes principal and interest. Do not deduct any interest already inside OCF twice. Dated cash allocation, future OCF and drawable credit are not established.</x:v>
      </x:c>
    </x:row>
    <x:row r="18" ht="65" customHeight="1">
      <x:c r="A18" s="89" t="str">
        <x:v>Remainder FY2027</x:v>
      </x:c>
      <x:c r="B18" s="167" t="str">
        <x:v>Purchase and other obligations</x:v>
      </x:c>
      <x:c r="C18" s="193" t="n">
        <x:f>IF(ISNUMBER('Data'!B37),'Data'!B37,NA())</x:f>
        <x:v>5449000000</x:v>
      </x:c>
      <x:c r="D18" s="167" t="str">
        <x:v>August cash pool; conditional revolver. No payment allocation established.</x:v>
      </x:c>
      <x:c r="E18" s="113"/>
      <x:c r="F18" s="167" t="str">
        <x:v>Unavailable</x:v>
      </x:c>
      <x:c r="G18" s="169" t="str">
        <x:v>Cloud supplies and power commitments may overlap capex, unpaid capex or leases. No combined total. Dated cash allocation, future OCF and drawable credit are not established.</x:v>
      </x:c>
    </x:row>
    <x:row r="19" ht="65" customHeight="1">
      <x:c r="A19" s="89" t="str">
        <x:v>FY2028</x:v>
      </x:c>
      <x:c r="B19" s="167" t="str">
        <x:v>Operating leases</x:v>
      </x:c>
      <x:c r="C19" s="193" t="n">
        <x:f>IF(ISNUMBER('Data'!B24),'Data'!B24,NA())</x:f>
        <x:v>4135000000</x:v>
      </x:c>
      <x:c r="D19" s="167" t="str">
        <x:v>August cash pool; conditional revolver. No payment allocation established.</x:v>
      </x:c>
      <x:c r="E19" s="113"/>
      <x:c r="F19" s="167" t="str">
        <x:v>Unavailable</x:v>
      </x:c>
      <x:c r="G19" s="169" t="str">
        <x:v>Operating needs and capex also use cash. Do not deduct lease payments already inside OCF twice. Dated cash allocation, future OCF and drawable credit are not established.</x:v>
      </x:c>
    </x:row>
    <x:row r="20" ht="65" customHeight="1">
      <x:c r="A20" s="89" t="str">
        <x:v>FY2028</x:v>
      </x:c>
      <x:c r="B20" s="167" t="str">
        <x:v>Finance leases</x:v>
      </x:c>
      <x:c r="C20" s="193" t="n">
        <x:f>IF(ISNUMBER('Data'!B31),'Data'!B31,NA())</x:f>
        <x:v>852000000</x:v>
      </x:c>
      <x:c r="D20" s="167" t="str">
        <x:v>August cash pool; conditional revolver. No payment allocation established.</x:v>
      </x:c>
      <x:c r="E20" s="113"/>
      <x:c r="F20" s="167" t="str">
        <x:v>Unavailable</x:v>
      </x:c>
      <x:c r="G20" s="169" t="str">
        <x:v>Includes principal and interest. Do not deduct any interest already inside OCF twice. Dated cash allocation, future OCF and drawable credit are not established.</x:v>
      </x:c>
    </x:row>
    <x:row r="21" ht="65" customHeight="1">
      <x:c r="A21" s="89" t="str">
        <x:v>FY2028</x:v>
      </x:c>
      <x:c r="B21" s="167" t="str">
        <x:v>Purchase and other obligations</x:v>
      </x:c>
      <x:c r="C21" s="193" t="n">
        <x:f>IF(ISNUMBER('Data'!B38),'Data'!B38,NA())</x:f>
        <x:v>6176000000</x:v>
      </x:c>
      <x:c r="D21" s="167" t="str">
        <x:v>August cash pool; conditional revolver. No payment allocation established.</x:v>
      </x:c>
      <x:c r="E21" s="113"/>
      <x:c r="F21" s="167" t="str">
        <x:v>Unavailable</x:v>
      </x:c>
      <x:c r="G21" s="169" t="str">
        <x:v>Cloud supplies and power commitments may overlap capex, unpaid capex or leases. No combined total. Dated cash allocation, future OCF and drawable credit are not established.</x:v>
      </x:c>
    </x:row>
    <x:row r="22" ht="65" customHeight="1">
      <x:c r="A22" s="89" t="str">
        <x:v>FY2029</x:v>
      </x:c>
      <x:c r="B22" s="167" t="str">
        <x:v>Operating leases</x:v>
      </x:c>
      <x:c r="C22" s="193" t="n">
        <x:f>IF(ISNUMBER('Data'!B25),'Data'!B25,NA())</x:f>
        <x:v>4097000000</x:v>
      </x:c>
      <x:c r="D22" s="167" t="str">
        <x:v>August cash pool; conditional revolver. No payment allocation established.</x:v>
      </x:c>
      <x:c r="E22" s="113"/>
      <x:c r="F22" s="167" t="str">
        <x:v>Unavailable</x:v>
      </x:c>
      <x:c r="G22" s="169" t="str">
        <x:v>Operating needs and capex also use cash. Do not deduct lease payments already inside OCF twice. Dated cash allocation, future OCF and drawable credit are not established.</x:v>
      </x:c>
    </x:row>
    <x:row r="23" ht="65" customHeight="1">
      <x:c r="A23" s="89" t="str">
        <x:v>FY2029</x:v>
      </x:c>
      <x:c r="B23" s="167" t="str">
        <x:v>Finance leases</x:v>
      </x:c>
      <x:c r="C23" s="193" t="n">
        <x:f>IF(ISNUMBER('Data'!B32),'Data'!B32,NA())</x:f>
        <x:v>923000000</x:v>
      </x:c>
      <x:c r="D23" s="167" t="str">
        <x:v>August cash pool; conditional revolver. No payment allocation established.</x:v>
      </x:c>
      <x:c r="E23" s="113"/>
      <x:c r="F23" s="167" t="str">
        <x:v>Unavailable</x:v>
      </x:c>
      <x:c r="G23" s="169" t="str">
        <x:v>Includes principal and interest. Do not deduct any interest already inside OCF twice. Dated cash allocation, future OCF and drawable credit are not established.</x:v>
      </x:c>
    </x:row>
    <x:row r="24" ht="65" customHeight="1">
      <x:c r="A24" s="89" t="str">
        <x:v>FY2029</x:v>
      </x:c>
      <x:c r="B24" s="167" t="str">
        <x:v>Purchase and other obligations</x:v>
      </x:c>
      <x:c r="C24" s="193" t="n">
        <x:f>IF(ISNUMBER('Data'!B39),'Data'!B39,NA())</x:f>
        <x:v>3863000000</x:v>
      </x:c>
      <x:c r="D24" s="167" t="str">
        <x:v>August cash pool; conditional revolver. No payment allocation established.</x:v>
      </x:c>
      <x:c r="E24" s="113"/>
      <x:c r="F24" s="167" t="str">
        <x:v>Unavailable</x:v>
      </x:c>
      <x:c r="G24" s="169" t="str">
        <x:v>Cloud supplies and power commitments may overlap capex, unpaid capex or leases. No combined total. Dated cash allocation, future OCF and drawable credit are not established.</x:v>
      </x:c>
    </x:row>
    <x:row r="25" ht="65" customHeight="1">
      <x:c r="A25" s="89" t="str">
        <x:v>FY2030</x:v>
      </x:c>
      <x:c r="B25" s="167" t="str">
        <x:v>Operating leases</x:v>
      </x:c>
      <x:c r="C25" s="193" t="n">
        <x:f>IF(ISNUMBER('Data'!B26),'Data'!B26,NA())</x:f>
        <x:v>4109000000</x:v>
      </x:c>
      <x:c r="D25" s="167" t="str">
        <x:v>August cash pool; conditional revolver. No payment allocation established.</x:v>
      </x:c>
      <x:c r="E25" s="113"/>
      <x:c r="F25" s="167" t="str">
        <x:v>Unavailable</x:v>
      </x:c>
      <x:c r="G25" s="169" t="str">
        <x:v>Operating needs and capex also use cash. Do not deduct lease payments already inside OCF twice. Dated cash allocation, future OCF and drawable credit are not established.</x:v>
      </x:c>
    </x:row>
    <x:row r="26" ht="65" customHeight="1">
      <x:c r="A26" s="89" t="str">
        <x:v>FY2030</x:v>
      </x:c>
      <x:c r="B26" s="167" t="str">
        <x:v>Finance leases</x:v>
      </x:c>
      <x:c r="C26" s="193" t="n">
        <x:f>IF(ISNUMBER('Data'!B33),'Data'!B33,NA())</x:f>
        <x:v>947000000</x:v>
      </x:c>
      <x:c r="D26" s="167" t="str">
        <x:v>August cash pool; conditional revolver. No payment allocation established.</x:v>
      </x:c>
      <x:c r="E26" s="113"/>
      <x:c r="F26" s="167" t="str">
        <x:v>Unavailable</x:v>
      </x:c>
      <x:c r="G26" s="169" t="str">
        <x:v>Includes principal and interest. Do not deduct any interest already inside OCF twice. Dated cash allocation, future OCF and drawable credit are not established.</x:v>
      </x:c>
    </x:row>
    <x:row r="27" ht="65" customHeight="1">
      <x:c r="A27" s="89" t="str">
        <x:v>FY2030</x:v>
      </x:c>
      <x:c r="B27" s="167" t="str">
        <x:v>Purchase and other obligations</x:v>
      </x:c>
      <x:c r="C27" s="193" t="n">
        <x:f>IF(ISNUMBER('Data'!B40),'Data'!B40,NA())</x:f>
        <x:v>4318000000</x:v>
      </x:c>
      <x:c r="D27" s="167" t="str">
        <x:v>August cash pool; conditional revolver. No payment allocation established.</x:v>
      </x:c>
      <x:c r="E27" s="113"/>
      <x:c r="F27" s="167" t="str">
        <x:v>Unavailable</x:v>
      </x:c>
      <x:c r="G27" s="169" t="str">
        <x:v>Cloud supplies and power commitments may overlap capex, unpaid capex or leases. No combined total. Dated cash allocation, future OCF and drawable credit are not established.</x:v>
      </x:c>
    </x:row>
    <x:row r="28" ht="65" customHeight="1">
      <x:c r="A28" s="89" t="str">
        <x:v>FY2031</x:v>
      </x:c>
      <x:c r="B28" s="167" t="str">
        <x:v>Operating leases</x:v>
      </x:c>
      <x:c r="C28" s="193" t="n">
        <x:f>IF(ISNUMBER('Data'!B27),'Data'!B27,NA())</x:f>
        <x:v>4089000000</x:v>
      </x:c>
      <x:c r="D28" s="167" t="str">
        <x:v>August cash pool; revolver expires within this bucket. Funding after expiry is Unavailable.</x:v>
      </x:c>
      <x:c r="E28" s="113"/>
      <x:c r="F28" s="167" t="str">
        <x:v>Unavailable</x:v>
      </x:c>
      <x:c r="G28" s="169" t="str">
        <x:v>Operating needs and capex also use cash. Do not deduct lease payments already inside OCF twice. Dated cash allocation, future OCF and drawable credit are not established.</x:v>
      </x:c>
    </x:row>
    <x:row r="29" ht="65" customHeight="1">
      <x:c r="A29" s="89" t="str">
        <x:v>FY2031</x:v>
      </x:c>
      <x:c r="B29" s="167" t="str">
        <x:v>Finance leases</x:v>
      </x:c>
      <x:c r="C29" s="193" t="n">
        <x:f>IF(ISNUMBER('Data'!B34),'Data'!B34,NA())</x:f>
        <x:v>971000000</x:v>
      </x:c>
      <x:c r="D29" s="167" t="str">
        <x:v>August cash pool; revolver expires within this bucket. Funding after expiry is Unavailable.</x:v>
      </x:c>
      <x:c r="E29" s="113"/>
      <x:c r="F29" s="167" t="str">
        <x:v>Unavailable</x:v>
      </x:c>
      <x:c r="G29" s="169" t="str">
        <x:v>Includes principal and interest. Do not deduct any interest already inside OCF twice. Dated cash allocation, future OCF and drawable credit are not established.</x:v>
      </x:c>
    </x:row>
    <x:row r="30" ht="65" customHeight="1">
      <x:c r="A30" s="89" t="str">
        <x:v>FY2031</x:v>
      </x:c>
      <x:c r="B30" s="167" t="str">
        <x:v>Purchase and other obligations</x:v>
      </x:c>
      <x:c r="C30" s="193" t="n">
        <x:f>IF(ISNUMBER('Data'!B41),'Data'!B41,NA())</x:f>
        <x:v>6768000000</x:v>
      </x:c>
      <x:c r="D30" s="167" t="str">
        <x:v>August cash pool; revolver expires within this bucket. Funding after expiry is Unavailable.</x:v>
      </x:c>
      <x:c r="E30" s="113"/>
      <x:c r="F30" s="167" t="str">
        <x:v>Unavailable</x:v>
      </x:c>
      <x:c r="G30" s="169" t="str">
        <x:v>Cloud supplies and power commitments may overlap capex, unpaid capex or leases. No combined total. Dated cash allocation, future OCF and drawable credit are not established.</x:v>
      </x:c>
    </x:row>
    <x:row r="31" ht="65" customHeight="1">
      <x:c r="A31" s="89" t="str">
        <x:v>FY2032</x:v>
      </x:c>
      <x:c r="B31" s="167" t="str">
        <x:v>Operating leases</x:v>
      </x:c>
      <x:c r="C31" s="193" t="n">
        <x:f>IF(ISNUMBER('Data'!B28),'Data'!B28,NA())</x:f>
        <x:v>4030000000</x:v>
      </x:c>
      <x:c r="D31" s="167" t="str">
        <x:v>Future cash or new financing Unavailable. Original revolver expires before this bucket.</x:v>
      </x:c>
      <x:c r="E31" s="113"/>
      <x:c r="F31" s="167" t="str">
        <x:v>Unavailable</x:v>
      </x:c>
      <x:c r="G31" s="169" t="str">
        <x:v>Operating needs and capex also use cash. Do not deduct lease payments already inside OCF twice. Dated cash allocation, future OCF and drawable credit are not established.</x:v>
      </x:c>
    </x:row>
    <x:row r="32" ht="65" customHeight="1">
      <x:c r="A32" s="89" t="str">
        <x:v>FY2032</x:v>
      </x:c>
      <x:c r="B32" s="167" t="str">
        <x:v>Finance leases</x:v>
      </x:c>
      <x:c r="C32" s="193" t="n">
        <x:f>IF(ISNUMBER('Data'!B35),'Data'!B35,NA())</x:f>
        <x:v>996000000</x:v>
      </x:c>
      <x:c r="D32" s="167" t="str">
        <x:v>Future cash or new financing Unavailable. Original revolver expires before this bucket.</x:v>
      </x:c>
      <x:c r="E32" s="113"/>
      <x:c r="F32" s="167" t="str">
        <x:v>Unavailable</x:v>
      </x:c>
      <x:c r="G32" s="169" t="str">
        <x:v>Includes principal and interest. Do not deduct any interest already inside OCF twice. Dated cash allocation, future OCF and drawable credit are not established.</x:v>
      </x:c>
    </x:row>
    <x:row r="33" ht="65" customHeight="1">
      <x:c r="A33" s="89" t="str">
        <x:v>FY2032</x:v>
      </x:c>
      <x:c r="B33" s="167" t="str">
        <x:v>Purchase and other obligations</x:v>
      </x:c>
      <x:c r="C33" s="193" t="n">
        <x:f>IF(ISNUMBER('Data'!B42),'Data'!B42,NA())</x:f>
        <x:v>954000000</x:v>
      </x:c>
      <x:c r="D33" s="167" t="str">
        <x:v>Future cash or new financing Unavailable. Original revolver expires before this bucket.</x:v>
      </x:c>
      <x:c r="E33" s="113"/>
      <x:c r="F33" s="167" t="str">
        <x:v>Unavailable</x:v>
      </x:c>
      <x:c r="G33" s="169" t="str">
        <x:v>Cloud supplies and power commitments may overlap capex, unpaid capex or leases. No combined total. Dated cash allocation, future OCF and drawable credit are not established.</x:v>
      </x:c>
    </x:row>
    <x:row r="34" ht="65" customHeight="1">
      <x:c r="A34" s="89" t="str">
        <x:v>Thereafter</x:v>
      </x:c>
      <x:c r="B34" s="167" t="str">
        <x:v>Operating leases</x:v>
      </x:c>
      <x:c r="C34" s="193" t="n">
        <x:f>IF(ISNUMBER('Data'!B29),'Data'!B29,NA())</x:f>
        <x:v>24371000000</x:v>
      </x:c>
      <x:c r="D34" s="167" t="str">
        <x:v>Future cash or new financing Unavailable. Original revolver expires before this bucket.</x:v>
      </x:c>
      <x:c r="E34" s="113"/>
      <x:c r="F34" s="167" t="str">
        <x:v>Unavailable</x:v>
      </x:c>
      <x:c r="G34" s="169" t="str">
        <x:v>Operating needs and capex also use cash. Do not deduct lease payments already inside OCF twice. Dated cash allocation, future OCF and drawable credit are not established. Thereafter combines multiple years with no final payment date.</x:v>
      </x:c>
    </x:row>
    <x:row r="35" ht="65" customHeight="1">
      <x:c r="A35" s="89" t="str">
        <x:v>Thereafter</x:v>
      </x:c>
      <x:c r="B35" s="167" t="str">
        <x:v>Finance leases</x:v>
      </x:c>
      <x:c r="C35" s="193" t="n">
        <x:f>IF(ISNUMBER('Data'!B36),'Data'!B36,NA())</x:f>
        <x:v>9886000000</x:v>
      </x:c>
      <x:c r="D35" s="167" t="str">
        <x:v>Future cash or new financing Unavailable. Original revolver expires before this bucket.</x:v>
      </x:c>
      <x:c r="E35" s="113"/>
      <x:c r="F35" s="167" t="str">
        <x:v>Unavailable</x:v>
      </x:c>
      <x:c r="G35" s="169" t="str">
        <x:v>Includes principal and interest. Do not deduct any interest already inside OCF twice. Dated cash allocation, future OCF and drawable credit are not established. Thereafter combines multiple years with no final payment date.</x:v>
      </x:c>
    </x:row>
    <x:row r="36" ht="65" customHeight="1">
      <x:c r="A36" s="100" t="str">
        <x:v>Thereafter</x:v>
      </x:c>
      <x:c r="B36" s="172" t="str">
        <x:v>Purchase and other obligations</x:v>
      </x:c>
      <x:c r="C36" s="194" t="n">
        <x:f>IF(ISNUMBER('Data'!B43),'Data'!B43,NA())</x:f>
        <x:v>6622000000</x:v>
      </x:c>
      <x:c r="D36" s="172" t="str">
        <x:v>Future cash or new financing Unavailable. Original revolver expires before this bucket.</x:v>
      </x:c>
      <x:c r="E36" s="195"/>
      <x:c r="F36" s="172" t="str">
        <x:v>Unavailable</x:v>
      </x:c>
      <x:c r="G36" s="174" t="str">
        <x:v>Cloud supplies and power commitments may overlap capex, unpaid capex or leases. No combined total. Dated cash allocation, future OCF and drawable credit are not established. Thereafter combines multiple years with no final payment date.</x:v>
      </x:c>
    </x:row>
    <x:row r="37" ht="24" customHeight="1">
      <x:c r="A37" s="74"/>
      <x:c r="B37" s="74"/>
      <x:c r="C37" s="74"/>
      <x:c r="D37" s="74"/>
      <x:c r="E37" s="74"/>
      <x:c r="F37" s="74"/>
      <x:c r="G37" s="74"/>
    </x:row>
    <x:row r="38" ht="24" customHeight="1">
      <x:c r="A38" s="74" t="str">
        <x:v>Dates are fiscal buckets, not specific payment days. See Payment dates for exact period boundaries.</x:v>
      </x:c>
      <x:c r="B38" s="74"/>
      <x:c r="C38" s="74"/>
      <x:c r="D38" s="74"/>
      <x:c r="E38" s="74"/>
      <x:c r="F38" s="74"/>
      <x:c r="G38" s="74"/>
    </x:row>
    <x:row r="39" ht="24" customHeight="1">
      <x:c r="A39" s="74" t="str">
        <x:v>Blank confirmed funding is Unavailable, not zero. No cash pool is allocated to several obligations.</x:v>
      </x:c>
      <x:c r="B39" s="74"/>
      <x:c r="C39" s="74"/>
      <x:c r="D39" s="74"/>
      <x:c r="E39" s="74"/>
      <x:c r="F39" s="74"/>
      <x:c r="G39" s="74"/>
    </x:row>
    <x:row r="40" ht="24" customHeight="1">
      <x:c r="A40" s="74" t="str">
        <x:v>Remaining August borrowing principal and interest dates are Unavailable. Current borrowing is carrying value.</x:v>
      </x:c>
      <x:c r="B40" s="74"/>
      <x:c r="C40" s="74"/>
      <x:c r="D40" s="74"/>
      <x:c r="E40" s="74"/>
      <x:c r="F40" s="74"/>
      <x:c r="G40" s="74"/>
    </x:row>
    <x:row r="41" ht="24" customHeight="1">
      <x:c r="A41" s="74"/>
      <x:c r="B41" s="74"/>
      <x:c r="C41" s="74"/>
      <x:c r="D41" s="74"/>
      <x:c r="E41" s="74"/>
      <x:c r="F41" s="74"/>
      <x:c r="G41" s="74"/>
    </x:row>
    <x:row r="42" ht="24" customHeight="1">
      <x:c r="A42" s="74" t="str">
        <x:v>Historical debt principal at May 31, 2026 — not the remaining August schedule</x:v>
      </x:c>
      <x:c r="B42" s="74"/>
      <x:c r="C42" s="74"/>
      <x:c r="D42" s="74"/>
      <x:c r="E42" s="74"/>
      <x:c r="F42" s="74"/>
      <x:c r="G42" s="74"/>
    </x:row>
    <x:row r="43" ht="48" customHeight="1">
      <x:c r="A43" s="142" t="str">
        <x:v>Historical bucket</x:v>
      </x:c>
      <x:c r="B43" s="152" t="str">
        <x:v>USD millions</x:v>
      </x:c>
      <x:c r="C43" s="152" t="str">
        <x:v>Due from</x:v>
      </x:c>
      <x:c r="D43" s="152" t="str">
        <x:v>Due through</x:v>
      </x:c>
      <x:c r="E43" s="152" t="str">
        <x:v>Basis</x:v>
      </x:c>
      <x:c r="F43" s="143" t="str">
        <x:v>Why not used for coverage?</x:v>
      </x:c>
      <x:c r="G43" s="74"/>
    </x:row>
    <x:row r="44" ht="65" customHeight="1">
      <x:c r="A44" s="89" t="str">
        <x:v>Fiscal 2027</x:v>
      </x:c>
      <x:c r="B44" s="193" t="n">
        <x:f>IF(ISNUMBER('Data'!B51),'Data'!B51,NA())</x:f>
        <x:v>7210000000</x:v>
      </x:c>
      <x:c r="C44" s="168" t="d">
        <x:v>2026-06-01T00:00:00.000Z</x:v>
      </x:c>
      <x:c r="D44" s="168" t="d">
        <x:v>2027-05-31T00:00:00.000Z</x:v>
      </x:c>
      <x:c r="E44" s="167" t="str">
        <x:v>May 31 principal, excluding interest and leases</x:v>
      </x:c>
      <x:c r="F44" s="169" t="str">
        <x:v>Quarter repayments cannot be assigned to these buckets; no August roll-forward is inferred.</x:v>
      </x:c>
      <x:c r="G44" s="74"/>
    </x:row>
    <x:row r="45" ht="65" customHeight="1">
      <x:c r="A45" s="89" t="str">
        <x:v>Fiscal 2028</x:v>
      </x:c>
      <x:c r="B45" s="193" t="n">
        <x:f>IF(ISNUMBER('Data'!B52),'Data'!B52,NA())</x:f>
        <x:v>10145000000</x:v>
      </x:c>
      <x:c r="C45" s="168" t="d">
        <x:v>2027-06-01T00:00:00.000Z</x:v>
      </x:c>
      <x:c r="D45" s="168" t="d">
        <x:v>2028-05-31T00:00:00.000Z</x:v>
      </x:c>
      <x:c r="E45" s="167" t="str">
        <x:v>May 31 principal, excluding interest and leases</x:v>
      </x:c>
      <x:c r="F45" s="169" t="str">
        <x:v>Quarter repayments cannot be assigned to these buckets; no August roll-forward is inferred.</x:v>
      </x:c>
      <x:c r="G45" s="74"/>
    </x:row>
    <x:row r="46" ht="65" customHeight="1">
      <x:c r="A46" s="89" t="str">
        <x:v>Fiscal 2029</x:v>
      </x:c>
      <x:c r="B46" s="193" t="n">
        <x:f>IF(ISNUMBER('Data'!B53),'Data'!B53,NA())</x:f>
        <x:v>5500000000</x:v>
      </x:c>
      <x:c r="C46" s="168" t="d">
        <x:v>2028-06-01T00:00:00.000Z</x:v>
      </x:c>
      <x:c r="D46" s="168" t="d">
        <x:v>2029-05-31T00:00:00.000Z</x:v>
      </x:c>
      <x:c r="E46" s="167" t="str">
        <x:v>May 31 principal, excluding interest and leases</x:v>
      </x:c>
      <x:c r="F46" s="169" t="str">
        <x:v>Quarter repayments cannot be assigned to these buckets; no August roll-forward is inferred.</x:v>
      </x:c>
      <x:c r="G46" s="74"/>
    </x:row>
    <x:row r="47" ht="65" customHeight="1">
      <x:c r="A47" s="89" t="str">
        <x:v>Fiscal 2030</x:v>
      </x:c>
      <x:c r="B47" s="193" t="n">
        <x:f>IF(ISNUMBER('Data'!B54),'Data'!B54,NA())</x:f>
        <x:v>7250000000</x:v>
      </x:c>
      <x:c r="C47" s="168" t="d">
        <x:v>2029-06-01T00:00:00.000Z</x:v>
      </x:c>
      <x:c r="D47" s="168" t="d">
        <x:v>2030-05-31T00:00:00.000Z</x:v>
      </x:c>
      <x:c r="E47" s="167" t="str">
        <x:v>May 31 principal, excluding interest and leases</x:v>
      </x:c>
      <x:c r="F47" s="169" t="str">
        <x:v>Quarter repayments cannot be assigned to these buckets; no August roll-forward is inferred.</x:v>
      </x:c>
      <x:c r="G47" s="74"/>
    </x:row>
    <x:row r="48" ht="65" customHeight="1">
      <x:c r="A48" s="89" t="str">
        <x:v>Fiscal 2031</x:v>
      </x:c>
      <x:c r="B48" s="193" t="n">
        <x:f>IF(ISNUMBER('Data'!B55),'Data'!B55,NA())</x:f>
        <x:v>9750000000</x:v>
      </x:c>
      <x:c r="C48" s="168" t="d">
        <x:v>2030-06-01T00:00:00.000Z</x:v>
      </x:c>
      <x:c r="D48" s="168" t="d">
        <x:v>2031-05-31T00:00:00.000Z</x:v>
      </x:c>
      <x:c r="E48" s="167" t="str">
        <x:v>May 31 principal, excluding interest and leases</x:v>
      </x:c>
      <x:c r="F48" s="169" t="str">
        <x:v>Quarter repayments cannot be assigned to these buckets; no August roll-forward is inferred.</x:v>
      </x:c>
      <x:c r="G48" s="74"/>
    </x:row>
    <x:row r="49" ht="65" customHeight="1">
      <x:c r="A49" s="100" t="str">
        <x:v>Thereafter</x:v>
      </x:c>
      <x:c r="B49" s="194" t="n">
        <x:f>IF(ISNUMBER('Data'!B56),'Data'!B56,NA())</x:f>
        <x:v>90250000000</x:v>
      </x:c>
      <x:c r="C49" s="173" t="d">
        <x:v>2031-06-01T00:00:00.000Z</x:v>
      </x:c>
      <x:c r="D49" s="173"/>
      <x:c r="E49" s="172" t="str">
        <x:v>May 31 principal, excluding interest and leases</x:v>
      </x:c>
      <x:c r="F49" s="174" t="str">
        <x:v>Quarter repayments cannot be assigned to these buckets; no August roll-forward is inferred.</x:v>
      </x:c>
      <x:c r="G49" s="74"/>
    </x:row>
    <x:row r="50" ht="24" customHeight="1">
      <x:c r="A50" s="74"/>
      <x:c r="B50" s="74"/>
      <x:c r="C50" s="74"/>
      <x:c r="D50" s="74"/>
      <x:c r="E50" s="74"/>
      <x:c r="F50" s="74"/>
      <x:c r="G50" s="74"/>
    </x:row>
    <x:row r="51" ht="24" customHeight="1">
      <x:c r="A51" s="74" t="str">
        <x:v>Obligations without usable payment dates</x:v>
      </x:c>
      <x:c r="B51" s="74"/>
      <x:c r="C51" s="74"/>
      <x:c r="D51" s="74"/>
      <x:c r="E51" s="74"/>
      <x:c r="F51" s="74"/>
      <x:c r="G51" s="74"/>
    </x:row>
    <x:row r="52" ht="48" customHeight="1">
      <x:c r="A52" s="142" t="str">
        <x:v>Disclosure</x:v>
      </x:c>
      <x:c r="B52" s="152" t="str">
        <x:v>USD millions</x:v>
      </x:c>
      <x:c r="C52" s="152" t="str">
        <x:v>Payment timing</x:v>
      </x:c>
      <x:c r="D52" s="143" t="str">
        <x:v>Limitation</x:v>
      </x:c>
      <x:c r="E52" s="74"/>
      <x:c r="F52" s="74"/>
      <x:c r="G52" s="74"/>
    </x:row>
    <x:row r="53" ht="100" customHeight="1">
      <x:c r="A53" s="89" t="str">
        <x:v>Remaining borrowing principal and interest at August 31</x:v>
      </x:c>
      <x:c r="B53" s="193"/>
      <x:c r="C53" s="167" t="str">
        <x:v>Unavailable</x:v>
      </x:c>
      <x:c r="D53" s="169" t="str">
        <x:v>Current borrowing is carrying value, not a dated principal schedule. The May principal schedule is historical. Quarter repayments cannot be assigned to its buckets.</x:v>
      </x:c>
      <x:c r="E53" s="74"/>
      <x:c r="F53" s="74"/>
      <x:c r="G53" s="74"/>
    </x:row>
    <x:row r="54" ht="100" customHeight="1">
      <x:c r="A54" s="89" t="str">
        <x:v>Operating leases not yet commenced</x:v>
      </x:c>
      <x:c r="B54" s="193" t="n">
        <x:f>IF(ISNUMBER('Data'!B22),'Data'!B22,NA())</x:f>
        <x:v>288000000000</x:v>
      </x:c>
      <x:c r="C54" s="167" t="str">
        <x:v>Unavailable</x:v>
      </x:c>
      <x:c r="D54" s="169" t="str">
        <x:v>Expected commencement in FY2027–2029 and 15–19 year terms do not establish payment dates. Annual amounts and overlap with other commitments are Unavailable.</x:v>
      </x:c>
      <x:c r="E54" s="74"/>
      <x:c r="F54" s="74"/>
      <x:c r="G54" s="74"/>
    </x:row>
    <x:row r="55" ht="100" customHeight="1">
      <x:c r="A55" s="100" t="str">
        <x:v>Unpaid capital expenditures</x:v>
      </x:c>
      <x:c r="B55" s="194" t="n">
        <x:f>IF(ISNUMBER('Data'!B18),'Data'!B18,NA())</x:f>
        <x:v>6247000000</x:v>
      </x:c>
      <x:c r="C55" s="172" t="str">
        <x:v>Unavailable</x:v>
      </x:c>
      <x:c r="D55" s="174" t="str">
        <x:v>Noncash quarter disclosure. Payment dates and overlap with purchase obligations are Unavailable. It is not added to historical cash capex.</x:v>
      </x:c>
      <x:c r="E55" s="74"/>
      <x:c r="F55" s="74"/>
      <x:c r="G55" s="74"/>
    </x:row>
    <x:row r="56" ht="24" customHeight="1">
      <x:c r="A56" s="40"/>
      <x:c r="B56" s="40"/>
      <x:c r="C56" s="40"/>
      <x:c r="D56" s="40"/>
      <x:c r="E56" s="40"/>
      <x:c r="F56" s="40"/>
      <x:c r="G56" s="40"/>
    </x:row>
    <x:row r="57" ht="24" customHeight="1">
      <x:c r="A57" s="40" t="str">
        <x:v>Revolver availability by evidence date</x:v>
      </x:c>
      <x:c r="B57" s="40"/>
      <x:c r="C57" s="40"/>
      <x:c r="D57" s="40"/>
      <x:c r="E57" s="40"/>
      <x:c r="F57" s="40"/>
      <x:c r="G57" s="40"/>
    </x:row>
    <x:row r="58" ht="52" customHeight="1">
      <x:c r="A58" s="142" t="str">
        <x:v>Evidence date</x:v>
      </x:c>
      <x:c r="B58" s="152" t="str">
        <x:v>Commitment, USD millions</x:v>
      </x:c>
      <x:c r="C58" s="152" t="str">
        <x:v>Advances, USD millions</x:v>
      </x:c>
      <x:c r="D58" s="152" t="str">
        <x:v>Undrawn commitment, USD millions</x:v>
      </x:c>
      <x:c r="E58" s="152" t="str">
        <x:v>Drawable capacity</x:v>
      </x:c>
      <x:c r="F58" s="152" t="str">
        <x:v>Covenant evidence</x:v>
      </x:c>
      <x:c r="G58" s="143" t="str">
        <x:v>Date-specific limit</x:v>
      </x:c>
    </x:row>
    <x:row r="59" ht="100" customHeight="1">
      <x:c r="A59" s="197" t="d">
        <x:v>2026-03-06T00:00:00.000Z</x:v>
      </x:c>
      <x:c r="B59" s="193" t="n">
        <x:f>IF(ISNUMBER('Data'!B57),'Data'!B57,NA())</x:f>
        <x:v>10000000000</x:v>
      </x:c>
      <x:c r="C59" s="193"/>
      <x:c r="D59" s="113"/>
      <x:c r="E59" s="167" t="str">
        <x:v>Unavailable</x:v>
      </x:c>
      <x:c r="F59" s="167" t="str">
        <x:v>Unavailable: no borrowing-date compliance evidence in the agreement.</x:v>
      </x:c>
      <x:c r="G59" s="169" t="str">
        <x:v>Original contractual commitment. The agreement does not establish actual borrowings on this date. Unavailable: same-date commitment, outstanding advances and draw conditions are not established.</x:v>
      </x:c>
    </x:row>
    <x:row r="60" ht="100" customHeight="1">
      <x:c r="A60" s="197" t="d">
        <x:v>2026-05-31T00:00:00.000Z</x:v>
      </x:c>
      <x:c r="B60" s="193" t="n">
        <x:f>IF(ISNUMBER('Data'!B60),'Data'!B60,NA())</x:f>
        <x:v>10000000000</x:v>
      </x:c>
      <x:c r="C60" s="193" t="n">
        <x:f>IF(ISNUMBER('Data'!B58),'Data'!B58,NA())</x:f>
        <x:v>0</x:v>
      </x:c>
      <x:c r="D60" s="198" t="n">
        <x:f>IF(COUNT(B60:C60)=2,B60-C60,NA())</x:f>
        <x:v>10000000000</x:v>
      </x:c>
      <x:c r="E60" s="167" t="str">
        <x:v>Unavailable</x:v>
      </x:c>
      <x:c r="F60" s="167" t="str">
        <x:v>Reported compliant with debt-related covenants at May 31. Ratio and headroom not disclosed.</x:v>
      </x:c>
      <x:c r="G60" s="169" t="str">
        <x:v>The 10-K confirms the $10B facility and zero outstanding borrowing. Undrawn commitment is arithmetic, not a verified draw authorization. Unavailable: public evidence does not establish all conditions for a specific borrowing.</x:v>
      </x:c>
    </x:row>
    <x:row r="61" ht="100" customHeight="1">
      <x:c r="A61" s="199" t="d">
        <x:v>2026-08-31T00:00:00.000Z</x:v>
      </x:c>
      <x:c r="B61" s="195"/>
      <x:c r="C61" s="195"/>
      <x:c r="D61" s="195"/>
      <x:c r="E61" s="172" t="str">
        <x:v>Unavailable</x:v>
      </x:c>
      <x:c r="F61" s="172" t="str">
        <x:v>Unavailable: no updated revolver compliance statement or contract ratio in this 10-Q.</x:v>
      </x:c>
      <x:c r="G61" s="174" t="str">
        <x:v>The 10-Q does not update the revolver commitment or borrowing balance. Other borrowing and repayment lines cannot identify revolver use. Unavailable: same-date commitment, outstanding advances and draw conditions are not established.</x:v>
      </x:c>
    </x:row>
    <x:row r="62" ht="24" customHeight="1">
      <x:c r="A62" s="74"/>
      <x:c r="B62" s="74"/>
      <x:c r="C62" s="74"/>
      <x:c r="D62" s="74"/>
      <x:c r="E62" s="74"/>
      <x:c r="F62" s="74"/>
      <x:c r="G62" s="74"/>
    </x:row>
    <x:row r="63" ht="24" customHeight="1">
      <x:c r="A63" s="74" t="str">
        <x:v>Revolver contract terms. Source evidence is on Data.</x:v>
      </x:c>
      <x:c r="B63" s="74"/>
      <x:c r="C63" s="74"/>
      <x:c r="D63" s="74"/>
      <x:c r="E63" s="74"/>
      <x:c r="F63" s="74"/>
      <x:c r="G63" s="74"/>
    </x:row>
    <x:row r="64" ht="52" customHeight="1">
      <x:c r="A64" s="142" t="str">
        <x:v>Term</x:v>
      </x:c>
      <x:c r="B64" s="152" t="str">
        <x:v>USD millions, if applicable</x:v>
      </x:c>
      <x:c r="C64" s="152" t="str">
        <x:v>Filing location</x:v>
      </x:c>
      <x:c r="D64" s="143" t="str">
        <x:v>Interpretation / condition</x:v>
      </x:c>
      <x:c r="E64" s="74"/>
      <x:c r="F64" s="74"/>
      <x:c r="G64" s="74"/>
    </x:row>
    <x:row r="65" ht="48" customHeight="1">
      <x:c r="A65" s="89" t="str">
        <x:v>Replacement of the old facility</x:v>
      </x:c>
      <x:c r="B65" s="113"/>
      <x:c r="C65" s="167" t="str">
        <x:v>10-K Note 6, p. 85</x:v>
      </x:c>
      <x:c r="D65" s="169" t="str">
        <x:f>'Data'!O62</x:f>
        <x:v>The old $6B revolver was terminated on March 6, 2026 when the new $10B facility was entered. They are not two concurrent commitments.</x:v>
      </x:c>
      <x:c r="E65" s="74"/>
      <x:c r="F65" s="74"/>
      <x:c r="G65" s="74"/>
    </x:row>
    <x:row r="66" ht="85" customHeight="1">
      <x:c r="A66" s="89" t="str">
        <x:v>Exposure and letters of credit</x:v>
      </x:c>
      <x:c r="B66" s="113"/>
      <x:c r="C66" s="167" t="str">
        <x:v>§1.01 Revolving Credit Exposure; §2.01</x:v>
      </x:c>
      <x:c r="D66" s="169" t="str">
        <x:f>'Data'!O63</x:f>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E66" s="74"/>
      <x:c r="F66" s="74"/>
      <x:c r="G66" s="74"/>
    </x:row>
    <x:row r="67" ht="95" customHeight="1">
      <x:c r="A67" s="89" t="str">
        <x:v>Reductions and termination</x:v>
      </x:c>
      <x:c r="B67" s="113"/>
      <x:c r="C67" s="167" t="str">
        <x:v>§§2.04, 7.01</x:v>
      </x:c>
      <x:c r="D67" s="169" t="str">
        <x:f>'Data'!O64</x:f>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E67" s="74"/>
      <x:c r="F67" s="74"/>
      <x:c r="G67" s="74"/>
    </x:row>
    <x:row r="68" ht="72" customHeight="1">
      <x:c r="A68" s="89" t="str">
        <x:v>Conditional increase ceiling</x:v>
      </x:c>
      <x:c r="B68" s="193" t="n">
        <x:f>IF(ISNUMBER('Data'!B61),'Data'!B61,NA())</x:f>
        <x:v>12000000000</x:v>
      </x:c>
      <x:c r="C68" s="167" t="str">
        <x:v>§2.05, especially (d)</x:v>
      </x:c>
      <x:c r="D68" s="169" t="str">
        <x:f>'Data'!O65</x:f>
        <x:v>The agreement permits aggregate commitments up to $12B, subject to conditions and willing existing or additional lenders. This is an option ceiling, not a $12B commitment or $2B of available funding. No exercised increase is established by the saved filings.</x:v>
      </x:c>
      <x:c r="E68" s="74"/>
      <x:c r="F68" s="74"/>
      <x:c r="G68" s="74"/>
    </x:row>
    <x:row r="69" ht="105" customHeight="1">
      <x:c r="A69" s="89" t="str">
        <x:v>Borrowing procedure and conditions</x:v>
      </x:c>
      <x:c r="B69" s="113"/>
      <x:c r="C69" s="167" t="str">
        <x:v>§§2.02, 4.02</x:v>
      </x:c>
      <x:c r="D69" s="169" t="str">
        <x:f>'Data'!O66</x:f>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E69" s="74"/>
      <x:c r="F69" s="74"/>
      <x:c r="G69" s="74"/>
    </x:row>
    <x:row r="70" ht="125" customHeight="1">
      <x:c r="A70" s="89" t="str">
        <x:v>Covenant and evidence needed</x:v>
      </x:c>
      <x:c r="B70" s="113"/>
      <x:c r="C70" s="167" t="str">
        <x:v>§§1.01, 6.01(f)(iii), 6.02(c)</x:v>
      </x:c>
      <x:c r="D70" s="169" t="str">
        <x:f>'Data'!O67</x:f>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E70" s="74"/>
      <x:c r="F70" s="74"/>
      <x:c r="G70" s="74"/>
    </x:row>
    <x:row r="71" ht="65" customHeight="1">
      <x:c r="A71" s="89" t="str">
        <x:v>Permitted uses</x:v>
      </x:c>
      <x:c r="B71" s="113"/>
      <x:c r="C71" s="167" t="str">
        <x:v>§§2.21, 6.01(g)</x:v>
      </x:c>
      <x:c r="D71" s="169" t="str">
        <x:f>'Data'!O68</x:f>
        <x:v>Working capital and other general corporate purposes, subject to Regulation U/X and sanctions, anti-corruption, anti-bribery and anti-money-laundering restrictions. No allocation to a particular repayment is established.</x:v>
      </x:c>
      <x:c r="E71" s="74"/>
      <x:c r="F71" s="74"/>
      <x:c r="G71" s="74"/>
    </x:row>
    <x:row r="72" ht="100" customHeight="1">
      <x:c r="A72" s="100" t="str">
        <x:v>Expiration and extensions</x:v>
      </x:c>
      <x:c r="B72" s="195"/>
      <x:c r="C72" s="172" t="str">
        <x:v>§§1.01, 2.06, 2.07</x:v>
      </x:c>
      <x:c r="D72" s="174" t="str">
        <x:f>'Data'!O69</x:f>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E72" s="74"/>
      <x:c r="F72" s="74"/>
      <x:c r="G72" s="74"/>
    </x:row>
    <x:row r="73" ht="24" customHeight="1">
      <x:c r="A73" s="74"/>
      <x:c r="B73" s="74"/>
      <x:c r="C73" s="74"/>
      <x:c r="D73" s="74"/>
      <x:c r="E73" s="74"/>
      <x:c r="F73" s="74"/>
      <x:c r="G73" s="74"/>
    </x:row>
    <x:row r="74" ht="24" customHeight="1">
      <x:c r="A74" s="74" t="str">
        <x:v>Later saved filings. Balances are not carried forward.</x:v>
      </x:c>
      <x:c r="B74" s="74"/>
      <x:c r="C74" s="74"/>
      <x:c r="D74" s="74"/>
      <x:c r="E74" s="74"/>
      <x:c r="F74" s="74"/>
      <x:c r="G74" s="74"/>
    </x:row>
    <x:row r="75" ht="52" customHeight="1">
      <x:c r="A75" s="142" t="str">
        <x:v>Filed</x:v>
      </x:c>
      <x:c r="B75" s="152" t="str">
        <x:v>Documents checked</x:v>
      </x:c>
      <x:c r="C75" s="152" t="str">
        <x:v>Event date</x:v>
      </x:c>
      <x:c r="D75" s="143" t="str">
        <x:v>Revolver finding</x:v>
      </x:c>
      <x:c r="E75" s="74"/>
      <x:c r="F75" s="74"/>
      <x:c r="G75" s="74"/>
    </x:row>
    <x:row r="76" ht="75" customHeight="1">
      <x:c r="A76" s="197" t="d">
        <x:v>2026-09-10T00:00:00.000Z</x:v>
      </x:c>
      <x:c r="B76" s="167" t="str">
        <x:v>8-K and Exhibit 99.1</x:v>
      </x:c>
      <x:c r="C76" s="168" t="d">
        <x:v>2026-09-10T00:00:00.000Z</x:v>
      </x:c>
      <x:c r="D76" s="169" t="str">
        <x:v>Results, the already completed equity sale and dividends. No updated revolver balance, increase, reduction, extension or drawable amount established.</x:v>
      </x:c>
      <x:c r="E76" s="74"/>
      <x:c r="F76" s="74"/>
      <x:c r="G76" s="74"/>
    </x:row>
    <x:row r="77" ht="75" customHeight="1">
      <x:c r="A77" s="199" t="d">
        <x:v>2026-09-14T00:00:00.000Z</x:v>
      </x:c>
      <x:c r="B77" s="172" t="str">
        <x:v>8-K and Exhibit 99.1</x:v>
      </x:c>
      <x:c r="C77" s="173" t="d">
        <x:v>2026-09-12T00:00:00.000Z</x:v>
      </x:c>
      <x:c r="D77" s="174" t="str">
        <x:v>Filed September 14 for the September 12 insider trading-plan cancellation. No corporate revolver update established.</x:v>
      </x:c>
      <x:c r="E77" s="74"/>
      <x:c r="F77" s="74"/>
      <x:c r="G77" s="74"/>
    </x:row>
    <x:row r="78" ht="24" customHeight="1">
      <x:c r="A78" s="74"/>
      <x:c r="B78" s="74"/>
      <x:c r="C78" s="74"/>
      <x:c r="D78" s="74"/>
      <x:c r="E78" s="74"/>
      <x:c r="F78" s="74"/>
      <x:c r="G78" s="74"/>
    </x:row>
    <x:row r="79" ht="145" customHeight="1">
      <x:c r="A79" s="74" t="str">
        <x:v>Saved-source scope</x:v>
      </x:c>
      <x:c r="B79" s="74"/>
      <x:c r="C79" s="74"/>
      <x:c r="D79" s="74" t="str">
        <x:v>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E79" s="74"/>
      <x:c r="F79" s="74"/>
      <x:c r="G79" s="74"/>
    </x:row>
    <x:row r="80" ht="24" customHeight="1">
      <x:c r="A80" s="40"/>
      <x:c r="B80" s="40"/>
      <x:c r="C80" s="40"/>
      <x:c r="D80" s="40"/>
      <x:c r="E80" s="40"/>
      <x:c r="F80" s="40"/>
      <x:c r="G80" s="40"/>
    </x:row>
    <x:row r="81" ht="24" customHeight="1">
      <x:c r="A81" s="40" t="str">
        <x:v>Blank commitment, advances or undrawn cells mean Unavailable. A dash is a reported zero.</x:v>
      </x:c>
      <x:c r="B81" s="40"/>
      <x:c r="C81" s="40"/>
      <x:c r="D81" s="40"/>
      <x:c r="E81" s="40"/>
      <x:c r="F81" s="40"/>
      <x:c r="G81" s="40"/>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11" hidden="0" customWidth="1"/>
    <x:col min="5" max="5" width="11" hidden="0" customWidth="1"/>
    <x:col min="6" max="6" width="11" hidden="0" customWidth="1"/>
    <x:col min="7" max="7" width="11" hidden="0" customWidth="1"/>
    <x:col min="8" max="8" width="26"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71" t="str">
        <x:v>Oracle cash sources and uses</x:v>
      </x:c>
      <x:c r="B2" s="40"/>
      <x:c r="C2" s="40"/>
      <x:c r="D2" s="40"/>
      <x:c r="E2" s="40"/>
      <x:c r="F2" s="40"/>
      <x:c r="G2" s="40"/>
      <x:c r="H2" s="40"/>
      <x:c r="I2" s="40"/>
    </x:row>
    <x:row r="3" ht="24" customHeight="1">
      <x:c r="A3" s="72" t="str">
        <x:v>June 1–August 31, 2026. USD millions. Cash totals include restricted cash.</x:v>
      </x:c>
      <x:c r="B3" s="40"/>
      <x:c r="C3" s="40"/>
      <x:c r="D3" s="40"/>
      <x:c r="E3" s="40"/>
      <x:c r="F3" s="40"/>
      <x:c r="G3" s="40"/>
      <x:c r="H3" s="40"/>
      <x:c r="I3" s="40"/>
    </x:row>
    <x:row r="4" ht="24" customHeight="1">
      <x:c r="A4" s="134" t="str">
        <x:v>Quarter cash analysis</x:v>
      </x:c>
      <x:c r="B4" s="135" t="str">
        <x:v>USD millions</x:v>
      </x:c>
      <x:c r="C4" s="40"/>
      <x:c r="D4" s="40" t="str">
        <x:v>June–August 2026. USD millions. The second bar subtracts specified prepayments from OCF.</x:v>
      </x:c>
      <x:c r="E4" s="40"/>
      <x:c r="F4" s="40"/>
      <x:c r="G4" s="40"/>
      <x:c r="H4" s="40"/>
      <x:c r="I4" s="40"/>
    </x:row>
    <x:row r="5" ht="30" customHeight="1">
      <x:c r="A5" s="89" t="str">
        <x:v>Opening cash, including restricted</x:v>
      </x:c>
      <x:c r="B5" s="90" t="n">
        <x:f>IF(ISNUMBER('Data'!B19),'Data'!B19,NA())</x:f>
        <x:v>31289000000</x:v>
      </x:c>
      <x:c r="C5" s="40"/>
      <x:c r="D5" s="74"/>
      <x:c r="E5" s="40"/>
      <x:c r="F5" s="40"/>
      <x:c r="G5" s="40"/>
      <x:c r="H5" s="40"/>
      <x:c r="I5" s="40"/>
    </x:row>
    <x:row r="6" ht="30" customHeight="1">
      <x:c r="A6" s="89" t="str">
        <x:v>Reported operating cash flow</x:v>
      </x:c>
      <x:c r="B6" s="90" t="n">
        <x:f>IF(ISNUMBER('Data'!B2),'Data'!B2,NA())</x:f>
        <x:v>23103000000</x:v>
      </x:c>
      <x:c r="C6" s="40"/>
      <x:c r="D6" s="74"/>
      <x:c r="E6" s="40"/>
      <x:c r="F6" s="40"/>
      <x:c r="G6" s="40"/>
      <x:c r="H6" s="40"/>
      <x:c r="I6" s="40"/>
    </x:row>
    <x:row r="7" ht="30" customHeight="1">
      <x:c r="A7" s="89" t="str">
        <x:v>Specified customer-prepayment contribution</x:v>
      </x:c>
      <x:c r="B7" s="90" t="n">
        <x:f>IF(ISNUMBER('Data'!B3),'Data'!B3,NA())</x:f>
        <x:v>11363000000</x:v>
      </x:c>
      <x:c r="C7" s="40"/>
      <x:c r="D7" s="74"/>
      <x:c r="E7" s="40"/>
      <x:c r="F7" s="40"/>
      <x:c r="G7" s="40"/>
      <x:c r="H7" s="40"/>
      <x:c r="I7" s="40"/>
    </x:row>
    <x:row r="8" ht="30" customHeight="1">
      <x:c r="A8" s="102" t="str">
        <x:v>OCF less specified prepayments</x:v>
      </x:c>
      <x:c r="B8" s="200" t="n">
        <x:f>B6-B7</x:f>
        <x:v>11740000000</x:v>
      </x:c>
      <x:c r="C8" s="40"/>
      <x:c r="D8" s="74"/>
      <x:c r="E8" s="40"/>
      <x:c r="F8" s="40"/>
      <x:c r="G8" s="40"/>
      <x:c r="H8" s="40"/>
      <x:c r="I8" s="40"/>
    </x:row>
    <x:row r="9" ht="30" customHeight="1">
      <x:c r="A9" s="89" t="str">
        <x:v>ATM equity proceeds, net</x:v>
      </x:c>
      <x:c r="B9" s="90" t="n">
        <x:f>IF(ISNUMBER('Data'!B8),'Data'!B8,NA())</x:f>
        <x:v>19909000000</x:v>
      </x:c>
      <x:c r="C9" s="40"/>
      <x:c r="D9" s="74"/>
      <x:c r="E9" s="40"/>
      <x:c r="F9" s="40"/>
      <x:c r="G9" s="40"/>
      <x:c r="H9" s="40"/>
      <x:c r="I9" s="40"/>
    </x:row>
    <x:row r="10" ht="30" customHeight="1">
      <x:c r="A10" s="89" t="str">
        <x:v>Cash capital spending</x:v>
      </x:c>
      <x:c r="B10" s="90" t="n">
        <x:f>IF(ISNUMBER('Data'!B4),'Data'!B4,NA())</x:f>
        <x:v>28499000000</x:v>
      </x:c>
      <x:c r="C10" s="40"/>
      <x:c r="D10" s="74"/>
      <x:c r="E10" s="40"/>
      <x:c r="F10" s="40"/>
      <x:c r="G10" s="40"/>
      <x:c r="H10" s="40"/>
      <x:c r="I10" s="40"/>
    </x:row>
    <x:row r="11" ht="30" customHeight="1">
      <x:c r="A11" s="102" t="str">
        <x:v>Reported OCF less cash capex</x:v>
      </x:c>
      <x:c r="B11" s="103" t="n">
        <x:f>B6-B10</x:f>
        <x:v>-5396000000</x:v>
      </x:c>
      <x:c r="C11" s="40"/>
      <x:c r="D11" s="74"/>
      <x:c r="E11" s="40"/>
      <x:c r="F11" s="40"/>
      <x:c r="G11" s="40"/>
      <x:c r="H11" s="40"/>
      <x:c r="I11" s="40"/>
    </x:row>
    <x:row r="12" ht="30" customHeight="1">
      <x:c r="A12" s="156" t="str">
        <x:v>OCF less specified prepayments and capex</x:v>
      </x:c>
      <x:c r="B12" s="157" t="n">
        <x:f>B8-B10</x:f>
        <x:v>-16759000000</x:v>
      </x:c>
      <x:c r="C12" s="40"/>
      <x:c r="D12" s="74"/>
      <x:c r="E12" s="40"/>
      <x:c r="F12" s="40"/>
      <x:c r="G12" s="40"/>
      <x:c r="H12" s="40"/>
      <x:c r="I12" s="40"/>
    </x:row>
    <x:row r="13" ht="30" customHeight="1">
      <x:c r="A13" s="96" t="str">
        <x:v>Cash dividends</x:v>
      </x:c>
      <x:c r="B13" s="97" t="n">
        <x:f>IF(ISNUMBER('Data'!B10),'Data'!B10,NA())</x:f>
        <x:v>1565000000</x:v>
      </x:c>
      <x:c r="C13" s="40"/>
      <x:c r="D13" s="74"/>
      <x:c r="E13" s="40"/>
      <x:c r="F13" s="40"/>
      <x:c r="G13" s="40"/>
      <x:c r="H13" s="40"/>
      <x:c r="I13" s="40"/>
    </x:row>
    <x:row r="14" ht="30" customHeight="1">
      <x:c r="A14" s="89" t="str">
        <x:v>Grouped debt repayments</x:v>
      </x:c>
      <x:c r="B14" s="90" t="n">
        <x:f>IF(ISNUMBER('Data'!B13),'Data'!B13,NA())</x:f>
        <x:v>4202000000</x:v>
      </x:c>
      <x:c r="C14" s="40"/>
      <x:c r="D14" s="74"/>
      <x:c r="E14" s="40"/>
      <x:c r="F14" s="40"/>
      <x:c r="G14" s="40"/>
      <x:c r="H14" s="40"/>
      <x:c r="I14" s="40"/>
    </x:row>
    <x:row r="15" ht="30" customHeight="1">
      <x:c r="A15" s="89" t="str">
        <x:v>Other cash flows, net</x:v>
      </x:c>
      <x:c r="B15" s="90" t="n">
        <x:f>IF(COUNT('Data'!B5,'Data'!B6,'Data'!B9,'Data'!B11,'Data'!B12,'Data'!B14,'Data'!B16)=7,-'Data'!B5+'Data'!B6+'Data'!B9-'Data'!B11+'Data'!B12+'Data'!B14+'Data'!B16,NA())</x:f>
        <x:v>-1101000000</x:v>
      </x:c>
      <x:c r="C15" s="40"/>
      <x:c r="D15" s="74"/>
      <x:c r="E15" s="40"/>
      <x:c r="F15" s="40"/>
      <x:c r="G15" s="40"/>
      <x:c r="H15" s="40"/>
      <x:c r="I15" s="40"/>
    </x:row>
    <x:row r="16" ht="30" customHeight="1">
      <x:c r="A16" s="102" t="str">
        <x:v>Calculated cash increase</x:v>
      </x:c>
      <x:c r="B16" s="103" t="n">
        <x:f>B6+B9-B10-B13-B14+B15</x:f>
        <x:v>7645000000</x:v>
      </x:c>
      <x:c r="C16" s="40"/>
      <x:c r="D16" s="74"/>
      <x:c r="E16" s="40"/>
      <x:c r="F16" s="40"/>
      <x:c r="G16" s="40"/>
      <x:c r="H16" s="40"/>
      <x:c r="I16" s="40"/>
    </x:row>
    <x:row r="17" ht="30" customHeight="1">
      <x:c r="A17" s="102" t="str">
        <x:v>Calculated ending cash, including restricted</x:v>
      </x:c>
      <x:c r="B17" s="103" t="n">
        <x:f>B5+B16</x:f>
        <x:v>38934000000</x:v>
      </x:c>
      <x:c r="C17" s="40"/>
      <x:c r="D17" s="74"/>
      <x:c r="E17" s="40"/>
      <x:c r="F17" s="40"/>
      <x:c r="G17" s="40"/>
      <x:c r="H17" s="40"/>
      <x:c r="I17" s="40"/>
    </x:row>
    <x:row r="18" ht="30" customHeight="1">
      <x:c r="A18" s="89" t="str">
        <x:v>Reported ending cash, including restricted</x:v>
      </x:c>
      <x:c r="B18" s="90" t="n">
        <x:f>IF(ISNUMBER('Data'!B20),'Data'!B20,NA())</x:f>
        <x:v>38934000000</x:v>
      </x:c>
      <x:c r="C18" s="40"/>
      <x:c r="D18" s="74"/>
      <x:c r="E18" s="40"/>
      <x:c r="F18" s="40"/>
      <x:c r="G18" s="40"/>
      <x:c r="H18" s="40"/>
      <x:c r="I18" s="40"/>
    </x:row>
    <x:row r="19" ht="30" customHeight="1">
      <x:c r="A19" s="89" t="str">
        <x:v>Ending-cash reconciliation difference</x:v>
      </x:c>
      <x:c r="B19" s="98" t="n">
        <x:f>B17-B18</x:f>
        <x:v>0</x:v>
      </x:c>
      <x:c r="C19" s="40"/>
      <x:c r="D19" s="74"/>
      <x:c r="E19" s="40"/>
      <x:c r="F19" s="40"/>
      <x:c r="G19" s="40"/>
      <x:c r="H19" s="40"/>
      <x:c r="I19" s="40"/>
    </x:row>
    <x:row r="20" ht="30" customHeight="1">
      <x:c r="A20" s="102" t="str">
        <x:v>Balance-sheet cash excluding restricted</x:v>
      </x:c>
      <x:c r="B20" s="158" t="n">
        <x:f>IF(ISNUMBER('Data'!B21),'Data'!B21,NA())</x:f>
        <x:v>36369000000</x:v>
      </x:c>
      <x:c r="C20" s="40"/>
      <x:c r="D20" s="74"/>
      <x:c r="E20" s="40"/>
      <x:c r="F20" s="40"/>
      <x:c r="G20" s="40"/>
      <x:c r="H20" s="40"/>
      <x:c r="I20" s="40"/>
    </x:row>
    <x:row r="21" ht="30" customHeight="1">
      <x:c r="A21" s="89" t="str">
        <x:v>Restricted cash at August 31</x:v>
      </x:c>
      <x:c r="B21" s="91" t="n">
        <x:f>B18-B20</x:f>
        <x:v>2565000000</x:v>
      </x:c>
      <x:c r="C21" s="40"/>
      <x:c r="D21" s="74"/>
      <x:c r="E21" s="40"/>
      <x:c r="F21" s="40"/>
      <x:c r="G21" s="40"/>
      <x:c r="H21" s="40"/>
      <x:c r="I21" s="40"/>
    </x:row>
    <x:row r="22" ht="30" customHeight="1">
      <x:c r="A22" s="89" t="str">
        <x:v>Reported cash increase</x:v>
      </x:c>
      <x:c r="B22" s="90" t="n">
        <x:f>IF(ISNUMBER('Data'!B17),'Data'!B17,NA())</x:f>
        <x:v>7645000000</x:v>
      </x:c>
      <x:c r="C22" s="40"/>
      <x:c r="D22" s="40" t="str">
        <x:v>Reported OCF less capex = B6 − B10.</x:v>
      </x:c>
      <x:c r="E22" s="40"/>
      <x:c r="F22" s="40"/>
      <x:c r="G22" s="40"/>
      <x:c r="H22" s="40"/>
      <x:c r="I22" s="40"/>
    </x:row>
    <x:row r="23" ht="30" customHeight="1">
      <x:c r="A23" s="100" t="str">
        <x:v>Cash-increase reconciliation difference</x:v>
      </x:c>
      <x:c r="B23" s="101" t="n">
        <x:f>B16-B22</x:f>
        <x:v>0</x:v>
      </x:c>
      <x:c r="C23" s="40"/>
      <x:c r="D23" s="40" t="str">
        <x:v>Excluding specified prepayments = B8 − B10.</x:v>
      </x:c>
      <x:c r="E23" s="40"/>
      <x:c r="F23" s="40"/>
      <x:c r="G23" s="40"/>
      <x:c r="H23" s="40"/>
      <x:c r="I23" s="40"/>
    </x:row>
    <x:row r="24" ht="30" customHeight="1">
      <x:c r="A24" s="74"/>
      <x:c r="B24" s="57"/>
      <x:c r="C24" s="40"/>
      <x:c r="D24" s="40"/>
      <x:c r="E24" s="40"/>
      <x:c r="F24" s="40"/>
      <x:c r="G24" s="40"/>
      <x:c r="H24" s="40"/>
      <x:c r="I24" s="40"/>
    </x:row>
    <x:row r="25" ht="30" customHeight="1">
      <x:c r="A25" s="102" t="str">
        <x:v>Cash increase less ATM equity proceeds</x:v>
      </x:c>
      <x:c r="B25" s="103" t="n">
        <x:f>B16-B9</x:f>
        <x:v>-12264000000</x:v>
      </x:c>
      <x:c r="C25" s="40"/>
      <x:c r="D25" s="40" t="str">
        <x:v>The prepayment exclusion is historical arithmetic, not recurring cash generation.</x:v>
      </x:c>
      <x:c r="E25" s="40"/>
      <x:c r="F25" s="40"/>
      <x:c r="G25" s="40"/>
      <x:c r="H25" s="40"/>
      <x:c r="I25" s="40"/>
    </x:row>
    <x:row r="26" ht="30" customHeight="1">
      <x:c r="A26" s="102" t="str">
        <x:v>Cash increase less ATM and specified prepayments</x:v>
      </x:c>
      <x:c r="B26" s="103" t="n">
        <x:f>B25-B7</x:f>
        <x:v>-23627000000</x:v>
      </x:c>
      <x:c r="C26" s="40"/>
      <x:c r="D26" s="74"/>
      <x:c r="E26" s="40"/>
      <x:c r="F26" s="40"/>
      <x:c r="G26" s="40"/>
      <x:c r="H26" s="40"/>
      <x:c r="I26" s="40"/>
    </x:row>
    <x:row r="27" ht="30" customHeight="1">
      <x:c r="A27" s="100" t="str">
        <x:v>Specified prepayments / reported OCF</x:v>
      </x:c>
      <x:c r="B27" s="104" t="n">
        <x:f>IF(B6&gt;0,B7/B6,NA())</x:f>
        <x:v>0.49184088646496127</x:v>
      </x:c>
      <x:c r="C27" s="40"/>
      <x:c r="D27" s="74"/>
      <x:c r="E27" s="40"/>
      <x:c r="F27" s="40"/>
      <x:c r="G27" s="40"/>
      <x:c r="H27" s="40"/>
      <x:c r="I27" s="40"/>
    </x:row>
    <x:row r="28" ht="24" customHeight="1">
      <x:c r="A28" s="40"/>
      <x:c r="B28" s="57"/>
      <x:c r="C28" s="40"/>
      <x:c r="D28" s="74"/>
      <x:c r="E28" s="40"/>
      <x:c r="F28" s="40"/>
      <x:c r="G28" s="40"/>
      <x:c r="H28" s="40"/>
      <x:c r="I28" s="40"/>
    </x:row>
    <x:row r="29" ht="24" customHeight="1">
      <x:c r="A29" s="72" t="str">
        <x:v>Rows 25–26 hold every other reported flow fixed. They are historical arithmetic, not forecasts.</x:v>
      </x:c>
      <x:c r="B29" s="57"/>
      <x:c r="C29" s="40"/>
      <x:c r="D29" s="40"/>
      <x:c r="E29" s="40"/>
      <x:c r="F29" s="40"/>
      <x:c r="G29" s="40"/>
      <x:c r="H29" s="40"/>
      <x:c r="I29" s="40"/>
    </x:row>
    <x:row r="30" ht="24" customHeight="1">
      <x:c r="A30" s="72" t="str">
        <x:v>No cash runway or future repayment surplus is calculated. August debt maturity amounts and drawable credit are Unavailable.</x:v>
      </x:c>
      <x:c r="B30" s="57"/>
      <x:c r="C30" s="40"/>
      <x:c r="D30" s="40"/>
      <x:c r="E30" s="40"/>
      <x:c r="F30" s="40"/>
      <x:c r="G30" s="40"/>
      <x:c r="H30" s="40"/>
      <x:c r="I30" s="40"/>
    </x:row>
    <x:row r="31" ht="24" customHeight="1">
      <x:c r="A31" s="72" t="str">
        <x:v>Interest and operating lease cash payments within OCF are not subtracted again.</x:v>
      </x:c>
      <x:c r="B31" s="57"/>
      <x:c r="C31" s="40"/>
      <x:c r="D31" s="40"/>
      <x:c r="E31" s="40"/>
      <x:c r="F31" s="40"/>
      <x:c r="G31" s="40"/>
      <x:c r="H31" s="40"/>
      <x:c r="I31" s="40"/>
    </x:row>
    <x:row r="32" ht="24" customHeight="1">
      <x:c r="A32" s="72" t="str">
        <x:v>The 11.363B prepayment contribution is already in OCF; the 19.909B ATM proceeds are already in August cash.</x:v>
      </x:c>
      <x:c r="B32" s="57"/>
      <x:c r="C32" s="40"/>
      <x:c r="D32" s="40"/>
      <x:c r="E32" s="40"/>
      <x:c r="F32" s="40"/>
      <x:c r="G32" s="40"/>
      <x:c r="H32" s="40"/>
      <x:c r="I32" s="40"/>
    </x:row>
    <x:row r="33" ht="24" customHeight="1">
      <x:c r="A33" s="40"/>
      <x:c r="B33" s="57"/>
      <x:c r="C33" s="40"/>
      <x:c r="D33" s="40"/>
      <x:c r="E33" s="40"/>
      <x:c r="F33" s="40"/>
      <x:c r="G33" s="40"/>
      <x:c r="H33" s="40"/>
      <x:c r="I33" s="40"/>
    </x:row>
    <x:row r="34" ht="24" customHeight="1">
      <x:c r="A34" s="40"/>
      <x:c r="B34" s="40"/>
      <x:c r="C34" s="40"/>
      <x:c r="D34" s="40"/>
      <x:c r="E34" s="40"/>
      <x:c r="F34" s="40"/>
      <x:c r="G34" s="40"/>
      <x:c r="H34" s="40"/>
      <x:c r="I34" s="40"/>
    </x:row>
    <x:row r="35" ht="38" customHeight="1">
      <x:c r="A35" s="40"/>
      <x:c r="B35" s="40"/>
      <x:c r="C35" s="40"/>
      <x:c r="D35" s="40"/>
      <x:c r="E35" s="40"/>
      <x:c r="F35" s="40"/>
      <x:c r="G35" s="40"/>
      <x:c r="H35" s="142" t="str">
        <x:v>Quarter measure</x:v>
      </x:c>
      <x:c r="I35" s="143" t="str">
        <x:v>USD</x:v>
      </x:c>
    </x:row>
    <x:row r="36" ht="38" customHeight="1">
      <x:c r="A36" s="40"/>
      <x:c r="B36" s="40"/>
      <x:c r="C36" s="40"/>
      <x:c r="D36" s="40"/>
      <x:c r="E36" s="40"/>
      <x:c r="F36" s="40"/>
      <x:c r="G36" s="40"/>
      <x:c r="H36" s="89" t="str">
        <x:v>Reported
OCF</x:v>
      </x:c>
      <x:c r="I36" s="106" t="n">
        <x:f>B6</x:f>
        <x:v>23103000000</x:v>
      </x:c>
    </x:row>
    <x:row r="37" ht="38" customHeight="1">
      <x:c r="A37" s="40"/>
      <x:c r="B37" s="40"/>
      <x:c r="C37" s="40"/>
      <x:c r="D37" s="40"/>
      <x:c r="E37" s="40"/>
      <x:c r="F37" s="40"/>
      <x:c r="G37" s="40"/>
      <x:c r="H37" s="89" t="str">
        <x:v>OCF excluding specified
prepayments</x:v>
      </x:c>
      <x:c r="I37" s="106" t="n">
        <x:f>B8</x:f>
        <x:v>11740000000</x:v>
      </x:c>
    </x:row>
    <x:row r="38" ht="38" customHeight="1">
      <x:c r="A38" s="40"/>
      <x:c r="B38" s="40"/>
      <x:c r="C38" s="40"/>
      <x:c r="D38" s="40"/>
      <x:c r="E38" s="40"/>
      <x:c r="F38" s="40"/>
      <x:c r="G38" s="40"/>
      <x:c r="H38" s="100" t="str">
        <x:v>Cash
capex</x:v>
      </x:c>
      <x:c r="I38" s="107" t="n">
        <x:f>B10</x:f>
        <x:v>28499000000</x:v>
      </x:c>
    </x:row>
    <x:row r="39" ht="24" customHeight="1">
      <x:c r="A39" s="40"/>
      <x:c r="B39" s="40"/>
      <x:c r="C39" s="40"/>
      <x:c r="D39" s="40"/>
      <x:c r="E39" s="40"/>
      <x:c r="F39" s="40"/>
      <x:c r="G39" s="40"/>
      <x:c r="H39" s="40"/>
      <x:c r="I39" s="40"/>
    </x:row>
    <x:row r="40" ht="24" customHeight="1">
      <x:c r="A40" s="40"/>
      <x:c r="B40" s="40"/>
      <x:c r="C40" s="40"/>
      <x:c r="D40" s="40"/>
      <x:c r="E40" s="40"/>
      <x:c r="F40" s="40"/>
      <x:c r="G40" s="40"/>
      <x:c r="H40" s="40"/>
      <x:c r="I40" s="40"/>
    </x:row>
    <x:row r="41" ht="24" customHeight="1">
      <x:c r="A41" s="71" t="str">
        <x:v>Historical operating-income interest coverage</x:v>
      </x:c>
      <x:c r="B41" s="40"/>
      <x:c r="C41" s="40"/>
      <x:c r="D41" s="40"/>
      <x:c r="E41" s="40"/>
      <x:c r="F41" s="40"/>
      <x:c r="G41" s="40"/>
      <x:c r="H41" s="40"/>
      <x:c r="I41" s="40"/>
    </x:row>
    <x:row r="42" ht="24" customHeight="1">
      <x:c r="A42" s="40" t="str">
        <x:v>TTM September 1, 2025–August 31, 2026. Reported interest line; capitalization basis Unavailable.</x:v>
      </x:c>
      <x:c r="B42" s="40"/>
      <x:c r="C42" s="40"/>
      <x:c r="D42" s="40"/>
      <x:c r="E42" s="40"/>
      <x:c r="F42" s="40"/>
      <x:c r="G42" s="40"/>
      <x:c r="H42" s="40"/>
      <x:c r="I42" s="40"/>
    </x:row>
    <x:row r="43" ht="24" customHeight="1">
      <x:c r="A43" s="40"/>
      <x:c r="B43" s="40"/>
      <x:c r="C43" s="40"/>
      <x:c r="D43" s="40"/>
      <x:c r="E43" s="40"/>
      <x:c r="F43" s="40"/>
      <x:c r="G43" s="40"/>
      <x:c r="H43" s="40"/>
      <x:c r="I43" s="40"/>
    </x:row>
    <x:row r="44" ht="32" customHeight="1">
      <x:c r="A44" s="142" t="str">
        <x:v>Build, USD millions</x:v>
      </x:c>
      <x:c r="B44" s="152" t="str">
        <x:v>FY2026</x:v>
      </x:c>
      <x:c r="C44" s="152" t="str">
        <x:v>+ Q1 FY2027</x:v>
      </x:c>
      <x:c r="D44" s="152" t="str">
        <x:v>− Q1 FY2026</x:v>
      </x:c>
      <x:c r="E44" s="143" t="str">
        <x:v>TTM</x:v>
      </x:c>
      <x:c r="F44" s="40"/>
      <x:c r="G44" s="40"/>
      <x:c r="H44" s="40"/>
      <x:c r="I44" s="40"/>
    </x:row>
    <x:row r="45" ht="32" customHeight="1">
      <x:c r="A45" s="111" t="str">
        <x:v>Reported operating income</x:v>
      </x:c>
      <x:c r="B45" s="184" t="n">
        <x:f>IF(ISNUMBER('Data'!B77),'Data'!B77,NA())</x:f>
        <x:v>20606000000</x:v>
      </x:c>
      <x:c r="C45" s="184" t="n">
        <x:f>IF(ISNUMBER('Data'!B80),'Data'!B80,NA())</x:f>
        <x:v>6728000000</x:v>
      </x:c>
      <x:c r="D45" s="184" t="n">
        <x:f>IF(ISNUMBER('Data'!B83),'Data'!B83,NA())</x:f>
        <x:v>4277000000</x:v>
      </x:c>
      <x:c r="E45" s="185" t="n">
        <x:f>B45+C45-D45</x:f>
        <x:v>23057000000</x:v>
      </x:c>
      <x:c r="F45" s="40"/>
      <x:c r="G45" s="40"/>
      <x:c r="H45" s="40"/>
      <x:c r="I45" s="40"/>
    </x:row>
    <x:row r="46" ht="32" customHeight="1">
      <x:c r="A46" s="111" t="str">
        <x:v>Reported Interest expense</x:v>
      </x:c>
      <x:c r="B46" s="184" t="n">
        <x:f>IF(ISNUMBER('Data'!B78),'Data'!B78,NA())</x:f>
        <x:v>4599000000</x:v>
      </x:c>
      <x:c r="C46" s="184" t="n">
        <x:f>IF(ISNUMBER('Data'!B81),'Data'!B81,NA())</x:f>
        <x:v>1428000000</x:v>
      </x:c>
      <x:c r="D46" s="184" t="n">
        <x:f>IF(ISNUMBER('Data'!B84),'Data'!B84,NA())</x:f>
        <x:v>923000000</x:v>
      </x:c>
      <x:c r="E46" s="185" t="n">
        <x:f>B46+C46-D46</x:f>
        <x:v>5104000000</x:v>
      </x:c>
      <x:c r="F46" s="40"/>
      <x:c r="G46" s="40"/>
      <x:c r="H46" s="40"/>
      <x:c r="I46" s="40"/>
    </x:row>
    <x:row r="47" ht="32" customHeight="1">
      <x:c r="A47" s="120" t="str">
        <x:v>Lease-note interest, context only</x:v>
      </x:c>
      <x:c r="B47" s="186" t="n">
        <x:f>IF(ISNUMBER('Data'!B79),'Data'!B79,NA())</x:f>
        <x:v>279000000</x:v>
      </x:c>
      <x:c r="C47" s="186" t="n">
        <x:f>IF(ISNUMBER('Data'!B82),'Data'!B82,NA())</x:f>
        <x:v>126000000</x:v>
      </x:c>
      <x:c r="D47" s="186" t="n">
        <x:f>IF(ISNUMBER('Data'!B85),'Data'!B85,NA())</x:f>
        <x:v>48000000</x:v>
      </x:c>
      <x:c r="E47" s="187" t="n">
        <x:f>B47+C47-D47</x:f>
        <x:v>357000000</x:v>
      </x:c>
      <x:c r="F47" s="40"/>
      <x:c r="G47" s="40"/>
      <x:c r="H47" s="40"/>
      <x:c r="I47" s="40"/>
    </x:row>
    <x:row r="48" ht="32" customHeight="1">
      <x:c r="A48" s="40"/>
      <x:c r="B48" s="40"/>
      <x:c r="C48" s="40"/>
      <x:c r="D48" s="40"/>
      <x:c r="E48" s="40"/>
      <x:c r="F48" s="40"/>
      <x:c r="G48" s="40"/>
      <x:c r="H48" s="40"/>
      <x:c r="I48" s="40"/>
    </x:row>
    <x:row r="49" ht="32" customHeight="1">
      <x:c r="A49" s="190" t="str">
        <x:v>Historical reported-line interest coverage</x:v>
      </x:c>
      <x:c r="B49" s="191" t="n">
        <x:f>IF(E46&gt;0,E45/E46,NA())</x:f>
        <x:v>4.517437304075235</x:v>
      </x:c>
      <x:c r="C49" s="40"/>
      <x:c r="D49" s="40"/>
      <x:c r="E49" s="40"/>
      <x:c r="F49" s="40"/>
      <x:c r="G49" s="40"/>
      <x:c r="H49" s="40"/>
      <x:c r="I49" s="40"/>
    </x:row>
    <x:row r="50" ht="24" customHeight="1">
      <x:c r="A50" s="40"/>
      <x:c r="B50" s="40"/>
      <x:c r="C50" s="40"/>
      <x:c r="D50" s="40"/>
      <x:c r="E50" s="40"/>
      <x:c r="F50" s="40"/>
      <x:c r="G50" s="40"/>
      <x:c r="H50" s="40"/>
      <x:c r="I50" s="40"/>
    </x:row>
    <x:row r="51" ht="26" customHeight="1">
      <x:c r="A51" s="40" t="str">
        <x:v>Capitalization basis: Unavailable. See About.</x:v>
      </x:c>
      <x:c r="B51" s="40"/>
      <x:c r="C51" s="40"/>
      <x:c r="D51" s="40"/>
      <x:c r="E51" s="40"/>
      <x:c r="F51" s="40"/>
      <x:c r="G51" s="40"/>
      <x:c r="H51" s="40"/>
      <x:c r="I51" s="40"/>
    </x:row>
    <x:row r="52" ht="26" customHeight="1">
      <x:c r="A52" s="40" t="str">
        <x:v>Borrowing-only coverage: Unavailable. See About.</x:v>
      </x:c>
      <x:c r="B52" s="40"/>
      <x:c r="C52" s="40"/>
      <x:c r="D52" s="40"/>
      <x:c r="E52" s="40"/>
      <x:c r="F52" s="40"/>
      <x:c r="G52" s="40"/>
      <x:c r="H52" s="40"/>
      <x:c r="I52" s="40"/>
    </x:row>
    <x:row r="53" ht="26" customHeight="1">
      <x:c r="A53" s="40" t="str">
        <x:v>Covenant headroom: Unavailable. Different contract formula.</x:v>
      </x:c>
      <x:c r="B53" s="40"/>
      <x:c r="C53" s="40"/>
      <x:c r="D53" s="40"/>
      <x:c r="E53" s="40"/>
      <x:c r="F53" s="40"/>
      <x:c r="G53" s="40"/>
      <x:c r="H53" s="40"/>
      <x:c r="I53" s="40"/>
    </x:row>
    <x:row r="54" ht="26" customHeight="1">
      <x:c r="A54" s="40" t="str">
        <x:v>Lease overlap: Unavailable; row 47 is not added.</x:v>
      </x:c>
      <x:c r="B54" s="40"/>
      <x:c r="C54" s="40"/>
      <x:c r="D54" s="40"/>
      <x:c r="E54" s="40"/>
      <x:c r="F54" s="40"/>
      <x:c r="G54" s="40"/>
      <x:c r="H54" s="40"/>
      <x:c r="I54" s="40"/>
    </x:row>
  </x:sheetData>
  <x:pageMargins left="0.7" right="0.7" top="0.75" bottom="0.75" header="0.3" footer="0.3"/>
  <x:drawing xmlns:r="http://schemas.openxmlformats.org/officeDocument/2006/relationships" r:id="R6cacfe896f144c89"/>
</x:worksheet>
</file>

<file path=xl/worksheets/sheet8.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53" hidden="0" customWidth="1"/>
    <x:col min="5" max="5" width="20" hidden="0" customWidth="1"/>
    <x:col min="6" max="6" width="20"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71" t="str">
        <x:v>Oracle payment dates and financing limits</x:v>
      </x:c>
      <x:c r="B2" s="40"/>
      <x:c r="C2" s="40"/>
      <x:c r="D2" s="40"/>
      <x:c r="E2" s="40"/>
      <x:c r="F2" s="40"/>
    </x:row>
    <x:row r="3" ht="24" customHeight="1">
      <x:c r="A3" s="72" t="str">
        <x:v>At August 31, 2026. USD millions. Leases include interest; no combined obligations total.</x:v>
      </x:c>
      <x:c r="B3" s="40"/>
      <x:c r="C3" s="40"/>
      <x:c r="D3" s="40"/>
      <x:c r="E3" s="40"/>
      <x:c r="F3" s="40"/>
    </x:row>
    <x:row r="4" ht="24" customHeight="1">
      <x:c r="A4" s="40"/>
      <x:c r="B4" s="40"/>
      <x:c r="C4" s="40"/>
      <x:c r="D4" s="40"/>
      <x:c r="E4" s="40"/>
      <x:c r="F4" s="40"/>
    </x:row>
    <x:row r="5" ht="24" customHeight="1">
      <x:c r="A5" s="134" t="str">
        <x:v>Due period</x:v>
      </x:c>
      <x:c r="B5" s="150" t="str">
        <x:v>Operating leases</x:v>
      </x:c>
      <x:c r="C5" s="151" t="str">
        <x:v>Finance leases</x:v>
      </x:c>
      <x:c r="D5" s="152" t="str">
        <x:v>Purchase and other</x:v>
      </x:c>
      <x:c r="E5" s="151" t="str">
        <x:v>Due from</x:v>
      </x:c>
      <x:c r="F5" s="135" t="str">
        <x:v>Due through</x:v>
      </x:c>
    </x:row>
    <x:row r="6" ht="24" customHeight="1">
      <x:c r="A6" s="111" t="str">
        <x:v>Remainder FY2027</x:v>
      </x:c>
      <x:c r="B6" s="112" t="n">
        <x:f>IF(ISNUMBER('Data'!B23),'Data'!B23,NA())</x:f>
        <x:v>3219000000</x:v>
      </x:c>
      <x:c r="C6" s="112" t="n">
        <x:f>IF(ISNUMBER('Data'!B30),'Data'!B30,NA())</x:f>
        <x:v>620000000</x:v>
      </x:c>
      <x:c r="D6" s="113" t="n">
        <x:f>IF(ISNUMBER('Data'!B37),'Data'!B37,NA())</x:f>
        <x:v>5449000000</x:v>
      </x:c>
      <x:c r="E6" s="114" t="d">
        <x:v>2026-09-01T00:00:00.000Z</x:v>
      </x:c>
      <x:c r="F6" s="115" t="d">
        <x:v>2027-05-31T00:00:00.000Z</x:v>
      </x:c>
    </x:row>
    <x:row r="7" ht="24" customHeight="1">
      <x:c r="A7" s="111" t="str">
        <x:v>FY2028</x:v>
      </x:c>
      <x:c r="B7" s="112" t="n">
        <x:f>IF(ISNUMBER('Data'!B24),'Data'!B24,NA())</x:f>
        <x:v>4135000000</x:v>
      </x:c>
      <x:c r="C7" s="112" t="n">
        <x:f>IF(ISNUMBER('Data'!B31),'Data'!B31,NA())</x:f>
        <x:v>852000000</x:v>
      </x:c>
      <x:c r="D7" s="113" t="n">
        <x:f>IF(ISNUMBER('Data'!B38),'Data'!B38,NA())</x:f>
        <x:v>6176000000</x:v>
      </x:c>
      <x:c r="E7" s="114" t="d">
        <x:v>2027-06-01T00:00:00.000Z</x:v>
      </x:c>
      <x:c r="F7" s="115" t="d">
        <x:v>2028-05-31T00:00:00.000Z</x:v>
      </x:c>
    </x:row>
    <x:row r="8" ht="24" customHeight="1">
      <x:c r="A8" s="111" t="str">
        <x:v>FY2029</x:v>
      </x:c>
      <x:c r="B8" s="112" t="n">
        <x:f>IF(ISNUMBER('Data'!B25),'Data'!B25,NA())</x:f>
        <x:v>4097000000</x:v>
      </x:c>
      <x:c r="C8" s="112" t="n">
        <x:f>IF(ISNUMBER('Data'!B32),'Data'!B32,NA())</x:f>
        <x:v>923000000</x:v>
      </x:c>
      <x:c r="D8" s="113" t="n">
        <x:f>IF(ISNUMBER('Data'!B39),'Data'!B39,NA())</x:f>
        <x:v>3863000000</x:v>
      </x:c>
      <x:c r="E8" s="114" t="d">
        <x:v>2028-06-01T00:00:00.000Z</x:v>
      </x:c>
      <x:c r="F8" s="115" t="d">
        <x:v>2029-05-31T00:00:00.000Z</x:v>
      </x:c>
    </x:row>
    <x:row r="9" ht="24" customHeight="1">
      <x:c r="A9" s="111" t="str">
        <x:v>FY2030</x:v>
      </x:c>
      <x:c r="B9" s="112" t="n">
        <x:f>IF(ISNUMBER('Data'!B26),'Data'!B26,NA())</x:f>
        <x:v>4109000000</x:v>
      </x:c>
      <x:c r="C9" s="112" t="n">
        <x:f>IF(ISNUMBER('Data'!B33),'Data'!B33,NA())</x:f>
        <x:v>947000000</x:v>
      </x:c>
      <x:c r="D9" s="113" t="n">
        <x:f>IF(ISNUMBER('Data'!B40),'Data'!B40,NA())</x:f>
        <x:v>4318000000</x:v>
      </x:c>
      <x:c r="E9" s="114" t="d">
        <x:v>2029-06-01T00:00:00.000Z</x:v>
      </x:c>
      <x:c r="F9" s="115" t="d">
        <x:v>2030-05-31T00:00:00.000Z</x:v>
      </x:c>
    </x:row>
    <x:row r="10" ht="24" customHeight="1">
      <x:c r="A10" s="111" t="str">
        <x:v>FY2031</x:v>
      </x:c>
      <x:c r="B10" s="112" t="n">
        <x:f>IF(ISNUMBER('Data'!B27),'Data'!B27,NA())</x:f>
        <x:v>4089000000</x:v>
      </x:c>
      <x:c r="C10" s="112" t="n">
        <x:f>IF(ISNUMBER('Data'!B34),'Data'!B34,NA())</x:f>
        <x:v>971000000</x:v>
      </x:c>
      <x:c r="D10" s="113" t="n">
        <x:f>IF(ISNUMBER('Data'!B41),'Data'!B41,NA())</x:f>
        <x:v>6768000000</x:v>
      </x:c>
      <x:c r="E10" s="114" t="d">
        <x:v>2030-06-01T00:00:00.000Z</x:v>
      </x:c>
      <x:c r="F10" s="115" t="d">
        <x:v>2031-05-31T00:00:00.000Z</x:v>
      </x:c>
    </x:row>
    <x:row r="11" ht="24" customHeight="1">
      <x:c r="A11" s="111" t="str">
        <x:v>FY2032</x:v>
      </x:c>
      <x:c r="B11" s="112" t="n">
        <x:f>IF(ISNUMBER('Data'!B28),'Data'!B28,NA())</x:f>
        <x:v>4030000000</x:v>
      </x:c>
      <x:c r="C11" s="112" t="n">
        <x:f>IF(ISNUMBER('Data'!B35),'Data'!B35,NA())</x:f>
        <x:v>996000000</x:v>
      </x:c>
      <x:c r="D11" s="113" t="n">
        <x:f>IF(ISNUMBER('Data'!B42),'Data'!B42,NA())</x:f>
        <x:v>954000000</x:v>
      </x:c>
      <x:c r="E11" s="114" t="d">
        <x:v>2031-06-01T00:00:00.000Z</x:v>
      </x:c>
      <x:c r="F11" s="115" t="d">
        <x:v>2032-05-31T00:00:00.000Z</x:v>
      </x:c>
    </x:row>
    <x:row r="12" ht="24" customHeight="1">
      <x:c r="A12" s="111" t="str">
        <x:v>Thereafter</x:v>
      </x:c>
      <x:c r="B12" s="112" t="n">
        <x:f>IF(ISNUMBER('Data'!B29),'Data'!B29,NA())</x:f>
        <x:v>24371000000</x:v>
      </x:c>
      <x:c r="C12" s="112" t="n">
        <x:f>IF(ISNUMBER('Data'!B36),'Data'!B36,NA())</x:f>
        <x:v>9886000000</x:v>
      </x:c>
      <x:c r="D12" s="113" t="n">
        <x:f>IF(ISNUMBER('Data'!B43),'Data'!B43,NA())</x:f>
        <x:v>6622000000</x:v>
      </x:c>
      <x:c r="E12" s="114" t="d">
        <x:v>2032-06-01T00:00:00.000Z</x:v>
      </x:c>
      <x:c r="F12" s="115"/>
    </x:row>
    <x:row r="13" ht="24" customHeight="1">
      <x:c r="A13" s="111"/>
      <x:c r="B13" s="112"/>
      <x:c r="C13" s="112"/>
      <x:c r="D13" s="113"/>
      <x:c r="E13" s="116"/>
      <x:c r="F13" s="117"/>
    </x:row>
    <x:row r="14" ht="24" customHeight="1">
      <x:c r="A14" s="162" t="str">
        <x:v>Calculated payment total</x:v>
      </x:c>
      <x:c r="B14" s="163" t="n">
        <x:f>SUM(B6:B12)</x:f>
        <x:v>48050000000</x:v>
      </x:c>
      <x:c r="C14" s="163" t="n">
        <x:f>SUM(C6:C12)</x:f>
        <x:v>15195000000</x:v>
      </x:c>
      <x:c r="D14" s="164" t="n">
        <x:f>SUM(D6:D12)</x:f>
        <x:v>34150000000</x:v>
      </x:c>
      <x:c r="E14" s="116"/>
      <x:c r="F14" s="117"/>
    </x:row>
    <x:row r="15" ht="24" customHeight="1">
      <x:c r="A15" s="111" t="str">
        <x:v>Reported payment total</x:v>
      </x:c>
      <x:c r="B15" s="112" t="n">
        <x:f>IF(ISNUMBER('Data'!B44),'Data'!B44,NA())</x:f>
        <x:v>48050000000</x:v>
      </x:c>
      <x:c r="C15" s="112" t="n">
        <x:f>IF(ISNUMBER('Data'!B47),'Data'!B47,NA())</x:f>
        <x:v>15195000000</x:v>
      </x:c>
      <x:c r="D15" s="113" t="n">
        <x:f>IF(ISNUMBER('Data'!B50),'Data'!B50,NA())</x:f>
        <x:v>34150000000</x:v>
      </x:c>
      <x:c r="E15" s="116"/>
      <x:c r="F15" s="117"/>
    </x:row>
    <x:row r="16" ht="24" customHeight="1">
      <x:c r="A16" s="111" t="str">
        <x:v>Payment-total difference</x:v>
      </x:c>
      <x:c r="B16" s="118" t="n">
        <x:f>B14-B15</x:f>
        <x:v>0</x:v>
      </x:c>
      <x:c r="C16" s="118" t="n">
        <x:f>C14-C15</x:f>
        <x:v>0</x:v>
      </x:c>
      <x:c r="D16" s="119" t="n">
        <x:f>D14-D15</x:f>
        <x:v>0</x:v>
      </x:c>
      <x:c r="E16" s="116"/>
      <x:c r="F16" s="117"/>
    </x:row>
    <x:row r="17" ht="24" customHeight="1">
      <x:c r="A17" s="111" t="str">
        <x:v>Less: imputed interest</x:v>
      </x:c>
      <x:c r="B17" s="112" t="n">
        <x:f>IF(ISNUMBER('Data'!B45),'Data'!B45,NA())</x:f>
        <x:v>13429000000</x:v>
      </x:c>
      <x:c r="C17" s="112" t="n">
        <x:f>IF(ISNUMBER('Data'!B48),'Data'!B48,NA())</x:f>
        <x:v>6010000000</x:v>
      </x:c>
      <x:c r="D17" s="113"/>
      <x:c r="E17" s="116"/>
      <x:c r="F17" s="117"/>
    </x:row>
    <x:row r="18" ht="24" customHeight="1">
      <x:c r="A18" s="162" t="str">
        <x:v>Calculated lease liability</x:v>
      </x:c>
      <x:c r="B18" s="163" t="n">
        <x:f>B14-B17</x:f>
        <x:v>34621000000</x:v>
      </x:c>
      <x:c r="C18" s="163" t="n">
        <x:f>C14-C17</x:f>
        <x:v>9185000000</x:v>
      </x:c>
      <x:c r="D18" s="164"/>
      <x:c r="E18" s="116"/>
      <x:c r="F18" s="117"/>
    </x:row>
    <x:row r="19" ht="24" customHeight="1">
      <x:c r="A19" s="111" t="str">
        <x:v>Reported lease liability</x:v>
      </x:c>
      <x:c r="B19" s="112" t="n">
        <x:f>IF(ISNUMBER('Data'!B46),'Data'!B46,NA())</x:f>
        <x:v>34621000000</x:v>
      </x:c>
      <x:c r="C19" s="112" t="n">
        <x:f>IF(ISNUMBER('Data'!B49),'Data'!B49,NA())</x:f>
        <x:v>9185000000</x:v>
      </x:c>
      <x:c r="D19" s="113"/>
      <x:c r="E19" s="116"/>
      <x:c r="F19" s="117"/>
    </x:row>
    <x:row r="20" ht="24" customHeight="1">
      <x:c r="A20" s="120" t="str">
        <x:v>Lease-liability difference</x:v>
      </x:c>
      <x:c r="B20" s="121" t="n">
        <x:f>B18-B19</x:f>
        <x:v>0</x:v>
      </x:c>
      <x:c r="C20" s="121" t="n">
        <x:f>C18-C19</x:f>
        <x:v>0</x:v>
      </x:c>
      <x:c r="D20" s="122"/>
      <x:c r="E20" s="123"/>
      <x:c r="F20" s="124"/>
    </x:row>
    <x:row r="21" ht="24" customHeight="1">
      <x:c r="A21" s="40"/>
      <x:c r="B21" s="57"/>
      <x:c r="C21" s="40"/>
      <x:c r="D21" s="74"/>
      <x:c r="E21" s="40"/>
      <x:c r="F21" s="40"/>
    </x:row>
    <x:row r="22" ht="42" customHeight="1">
      <x:c r="A22" s="125" t="str">
        <x:v>Operating leases not yet commenced</x:v>
      </x:c>
      <x:c r="B22" s="126" t="n">
        <x:f>IF(ISNUMBER('Data'!B22),'Data'!B22,NA())</x:f>
        <x:v>288000000000</x:v>
      </x:c>
      <x:c r="C22" s="40"/>
      <x:c r="D22" s="74" t="str">
        <x:v>Commencement FY2027–2029; terms 15–19 years. Annual payment timing Unavailable.</x:v>
      </x:c>
      <x:c r="E22" s="74"/>
      <x:c r="F22" s="74"/>
    </x:row>
    <x:row r="23" ht="24" customHeight="1">
      <x:c r="A23" s="40"/>
      <x:c r="B23" s="57"/>
      <x:c r="C23" s="40"/>
      <x:c r="D23" s="74"/>
      <x:c r="E23" s="74"/>
      <x:c r="F23" s="74"/>
    </x:row>
    <x:row r="24" ht="42" customHeight="1">
      <x:c r="A24" s="127" t="str">
        <x:v>Original revolver commitment</x:v>
      </x:c>
      <x:c r="B24" s="97" t="n">
        <x:f>IF(ISNUMBER('Data'!B57),'Data'!B57,NA())</x:f>
        <x:v>10000000000</x:v>
      </x:c>
      <x:c r="C24" s="40"/>
      <x:c r="D24" s="74" t="str">
        <x:v>Agreement dated March 6, 2026. Original maturity March 6, 2031.</x:v>
      </x:c>
      <x:c r="E24" s="74"/>
      <x:c r="F24" s="74"/>
    </x:row>
    <x:row r="25" ht="42" customHeight="1">
      <x:c r="A25" s="111" t="str">
        <x:v>Revolver drawn at May 31</x:v>
      </x:c>
      <x:c r="B25" s="90" t="n">
        <x:f>IF(ISNUMBER('Data'!B58),'Data'!B58,NA())</x:f>
        <x:v>0</x:v>
      </x:c>
      <x:c r="C25" s="40"/>
      <x:c r="D25" s="74" t="str">
        <x:v>Historical drawing balance only.</x:v>
      </x:c>
      <x:c r="E25" s="74"/>
      <x:c r="F25" s="74"/>
    </x:row>
    <x:row r="26" ht="42" customHeight="1">
      <x:c r="A26" s="111" t="str">
        <x:v>August drawable revolver capacity</x:v>
      </x:c>
      <x:c r="B26" s="91"/>
      <x:c r="C26" s="40"/>
      <x:c r="D26" s="74" t="str">
        <x:v>Unavailable: current drawings, conditions and covenant headroom not established.</x:v>
      </x:c>
      <x:c r="E26" s="74"/>
      <x:c r="F26" s="74"/>
    </x:row>
    <x:row r="27" ht="42" customHeight="1">
      <x:c r="A27" s="120" t="str">
        <x:v>Minimum contractual interest coverage</x:v>
      </x:c>
      <x:c r="B27" s="128" t="n">
        <x:f>IF(ISNUMBER('Data'!B59),'Data'!B59,NA())</x:f>
        <x:v>3</x:v>
      </x:c>
      <x:c r="C27" s="40"/>
      <x:c r="D27" s="74" t="str">
        <x:v>3.0x, contract-defined. Current covenant headroom Unavailable.</x:v>
      </x:c>
      <x:c r="E27" s="74"/>
      <x:c r="F27" s="74"/>
    </x:row>
    <x:row r="28" ht="24" customHeight="1">
      <x:c r="A28" s="40"/>
      <x:c r="B28" s="57"/>
      <x:c r="C28" s="40"/>
      <x:c r="D28" s="74"/>
      <x:c r="E28" s="74"/>
      <x:c r="F28" s="74"/>
    </x:row>
    <x:row r="29" ht="24" customHeight="1">
      <x:c r="A29" s="72" t="str">
        <x:v>The May borrowing schedule is historical; remaining August debt maturities are Unavailable.</x:v>
      </x:c>
      <x:c r="B29" s="57"/>
      <x:c r="C29" s="40"/>
      <x:c r="D29" s="74"/>
      <x:c r="E29" s="74"/>
      <x:c r="F29" s="74"/>
    </x:row>
    <x:row r="30" ht="24" customHeight="1">
      <x:c r="A30" s="72" t="str">
        <x:v>The $20B gross ATM program was fully used in Q1. It is not unused equity capacity.</x:v>
      </x:c>
      <x:c r="B30" s="57"/>
      <x:c r="C30" s="40"/>
      <x:c r="D30" s="74"/>
      <x:c r="E30" s="74"/>
      <x:c r="F30" s="74"/>
    </x:row>
    <x:row r="31" ht="24" customHeight="1">
      <x:c r="A31" s="72" t="str">
        <x:v>Purchase obligations, unpaid capex and leases may overlap. No aggregate funding requirement is inferred.</x:v>
      </x:c>
      <x:c r="B31" s="57"/>
      <x:c r="C31" s="40"/>
      <x:c r="D31" s="74"/>
      <x:c r="E31" s="74"/>
      <x:c r="F31" s="74"/>
    </x:row>
    <x:row r="32" ht="24" customHeight="1">
      <x:c r="A32" s="72"/>
      <x:c r="B32" s="57"/>
      <x:c r="C32" s="40"/>
      <x:c r="D32" s="74"/>
      <x:c r="E32" s="74"/>
      <x:c r="F32" s="74"/>
    </x:row>
    <x:row r="33" ht="42" customHeight="1">
      <x:c r="A33" s="125" t="str">
        <x:v>Unpaid capex, noncash disclosure</x:v>
      </x:c>
      <x:c r="B33" s="129" t="n">
        <x:f>IF(ISNUMBER('Data'!B18),'Data'!B18,NA())</x:f>
        <x:v>6247000000</x:v>
      </x:c>
      <x:c r="C33" s="40"/>
      <x:c r="D33" s="74" t="str">
        <x:v>Payment dates and overlap with purchase obligations are Unavailable.</x:v>
      </x:c>
      <x:c r="E33" s="74"/>
      <x:c r="F33" s="74"/>
    </x:row>
  </x:sheetData>
  <x:pageMargins left="0.7" right="0.7" top="0.75" bottom="0.75" header="0.3" footer="0.3"/>
</x:worksheet>
</file>

<file path=xl/worksheets/sheet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9" hidden="0" customWidth="1"/>
    <x:col min="3" max="3" width="48" hidden="0" customWidth="1"/>
    <x:col min="4" max="4" width="19" hidden="0" customWidth="1"/>
    <x:col min="5" max="5" width="19" hidden="0" customWidth="1"/>
    <x:col min="6" max="6" width="19" hidden="0" customWidth="1"/>
    <x:col min="7" max="7" width="19" hidden="0" customWidth="1"/>
    <x:col min="8" max="8" width="48" hidden="0" customWidth="1"/>
    <x:col min="9" max="9" width="48" hidden="0" customWidth="1"/>
    <x:col min="10" max="10" width="48" hidden="0" customWidth="1"/>
    <x:col min="11" max="11" width="12" hidden="0" customWidth="1"/>
    <x:col min="12" max="12" width="12" hidden="0" customWidth="1"/>
    <x:col min="13" max="13" width="65" hidden="0" customWidth="1"/>
    <x:col min="14" max="14" width="65" hidden="0" customWidth="1"/>
    <x:col min="15" max="15" width="65" hidden="0" customWidth="1"/>
    <x:col min="16" max="16" width="45" hidden="0" customWidth="1"/>
    <x:col min="17" max="17" width="45" hidden="0" customWidth="1"/>
    <x:col min="18" max="18" width="80" hidden="0" customWidth="1"/>
  </x:cols>
  <x:sheetData>
    <x:row r="1" ht="45" customHeight="1">
      <x:c r="A1" s="142" t="str">
        <x:v>Key</x:v>
      </x:c>
      <x:c r="B1" s="152" t="str">
        <x:v>USD millions unless x</x:v>
      </x:c>
      <x:c r="C1" s="152" t="str">
        <x:v>Reported input</x:v>
      </x:c>
      <x:c r="D1" s="152" t="str">
        <x:v>Period start</x:v>
      </x:c>
      <x:c r="E1" s="152" t="str">
        <x:v>Period end / as of</x:v>
      </x:c>
      <x:c r="F1" s="152" t="str">
        <x:v>Form</x:v>
      </x:c>
      <x:c r="G1" s="152" t="str">
        <x:v>Filed</x:v>
      </x:c>
      <x:c r="H1" s="152" t="str">
        <x:v>Accession</x:v>
      </x:c>
      <x:c r="I1" s="152" t="str">
        <x:v>Tag</x:v>
      </x:c>
      <x:c r="J1" s="152" t="str">
        <x:v>Context ID</x:v>
      </x:c>
      <x:c r="K1" s="152" t="str">
        <x:v>Scale</x:v>
      </x:c>
      <x:c r="L1" s="152" t="str">
        <x:v>Decimals</x:v>
      </x:c>
      <x:c r="M1" s="152" t="str">
        <x:v>Source</x:v>
      </x:c>
      <x:c r="N1" s="152" t="str">
        <x:v>Filing location</x:v>
      </x:c>
      <x:c r="O1" s="152" t="str">
        <x:v>Finding / Unavailable reason</x:v>
      </x:c>
      <x:c r="P1" s="152" t="str">
        <x:v>Dimensions</x:v>
      </x:c>
      <x:c r="Q1" s="152" t="str">
        <x:v>Reviewed source SHA256</x:v>
      </x:c>
      <x:c r="R1" s="143" t="str">
        <x:v>Unit and selection rule</x:v>
      </x:c>
    </x:row>
    <x:row r="2" ht="45" customHeight="1">
      <x:c r="A2" s="89" t="str">
        <x:v>ocf</x:v>
      </x:c>
      <x:c r="B2" s="166" t="n">
        <x:v>23103000000</x:v>
      </x:c>
      <x:c r="C2" s="167" t="str">
        <x:v>Reported operating cash flow</x:v>
      </x:c>
      <x:c r="D2" s="168" t="d">
        <x:v>2026-06-01T00:00:00.000Z</x:v>
      </x:c>
      <x:c r="E2" s="168" t="d">
        <x:v>2026-08-31T00:00:00.000Z</x:v>
      </x:c>
      <x:c r="F2" s="167" t="str">
        <x:v>10-Q</x:v>
      </x:c>
      <x:c r="G2" s="168" t="d">
        <x:v>2026-09-11T00:00:00.000Z</x:v>
      </x:c>
      <x:c r="H2" s="167" t="str">
        <x:v>0001193125-26-389274</x:v>
      </x:c>
      <x:c r="I2" s="167" t="str">
        <x:v>us-gaap:NetCashProvidedByUsedInOperatingActivities</x:v>
      </x:c>
      <x:c r="J2" s="167" t="str">
        <x:v>C_f2f9ad85-08df-4e59-8948-bfd9405570de</x:v>
      </x:c>
      <x:c r="K2" s="167" t="n">
        <x:v>6</x:v>
      </x:c>
      <x:c r="L2" s="167" t="str">
        <x:v>-6</x:v>
      </x:c>
      <x:c r="M2" s="167" t="str">
        <x:v>https://www.sec.gov/Archives/edgar/data/1341439/000119312526389274/orcl-20260831.htm</x:v>
      </x:c>
      <x:c r="N2" s="167" t="str">
        <x:v>10-Q cash flows, p. 5</x:v>
      </x:c>
      <x:c r="O2" s="167"/>
      <x:c r="P2" s="167"/>
      <x:c r="Q2" s="167"/>
      <x:c r="R2" s="169"/>
    </x:row>
    <x:row r="3" ht="45" customHeight="1">
      <x:c r="A3" s="89" t="str">
        <x:v>prepay</x:v>
      </x:c>
      <x:c r="B3" s="166" t="n">
        <x:v>11363000000</x:v>
      </x:c>
      <x:c r="C3" s="167" t="str">
        <x:v>Customer prepayments with a significant financing component</x:v>
      </x:c>
      <x:c r="D3" s="168" t="d">
        <x:v>2026-06-01T00:00:00.000Z</x:v>
      </x:c>
      <x:c r="E3" s="168" t="d">
        <x:v>2026-08-31T00:00:00.000Z</x:v>
      </x:c>
      <x:c r="F3" s="167" t="str">
        <x:v>10-Q</x:v>
      </x:c>
      <x:c r="G3" s="168" t="d">
        <x:v>2026-09-11T00:00:00.000Z</x:v>
      </x:c>
      <x:c r="H3" s="167" t="str">
        <x:v>0001193125-26-389274</x:v>
      </x:c>
      <x:c r="I3" s="167" t="str">
        <x:v>orcl:IncreaseDecreaseInDeferredRevenuesFromCustomerPrepaymentsWithSignificantFinancingComponent</x:v>
      </x:c>
      <x:c r="J3" s="167" t="str">
        <x:v>C_f2f9ad85-08df-4e59-8948-bfd9405570de</x:v>
      </x:c>
      <x:c r="K3" s="167" t="n">
        <x:v>6</x:v>
      </x:c>
      <x:c r="L3" s="167" t="str">
        <x:v>-6</x:v>
      </x:c>
      <x:c r="M3" s="167" t="str">
        <x:v>https://www.sec.gov/Archives/edgar/data/1341439/000119312526389274/orcl-20260831.htm</x:v>
      </x:c>
      <x:c r="N3" s="167" t="str">
        <x:v>10-Q cash flows, p. 5</x:v>
      </x:c>
      <x:c r="O3" s="167"/>
      <x:c r="P3" s="167"/>
      <x:c r="Q3" s="167"/>
      <x:c r="R3" s="169"/>
    </x:row>
    <x:row r="4" ht="45" customHeight="1">
      <x:c r="A4" s="89" t="str">
        <x:v>capex</x:v>
      </x:c>
      <x:c r="B4" s="166" t="n">
        <x:v>28499000000</x:v>
      </x:c>
      <x:c r="C4" s="167" t="str">
        <x:v>Cash capital expenditures</x:v>
      </x:c>
      <x:c r="D4" s="168" t="d">
        <x:v>2026-06-01T00:00:00.000Z</x:v>
      </x:c>
      <x:c r="E4" s="168" t="d">
        <x:v>2026-08-31T00:00:00.000Z</x:v>
      </x:c>
      <x:c r="F4" s="167" t="str">
        <x:v>10-Q</x:v>
      </x:c>
      <x:c r="G4" s="168" t="d">
        <x:v>2026-09-11T00:00:00.000Z</x:v>
      </x:c>
      <x:c r="H4" s="167" t="str">
        <x:v>0001193125-26-389274</x:v>
      </x:c>
      <x:c r="I4" s="167" t="str">
        <x:v>us-gaap:PaymentsToAcquirePropertyPlantAndEquipment</x:v>
      </x:c>
      <x:c r="J4" s="167" t="str">
        <x:v>C_f2f9ad85-08df-4e59-8948-bfd9405570de</x:v>
      </x:c>
      <x:c r="K4" s="167" t="n">
        <x:v>6</x:v>
      </x:c>
      <x:c r="L4" s="167" t="str">
        <x:v>-6</x:v>
      </x:c>
      <x:c r="M4" s="167" t="str">
        <x:v>https://www.sec.gov/Archives/edgar/data/1341439/000119312526389274/orcl-20260831.htm</x:v>
      </x:c>
      <x:c r="N4" s="167" t="str">
        <x:v>10-Q cash flows, p. 5</x:v>
      </x:c>
      <x:c r="O4" s="167"/>
      <x:c r="P4" s="167"/>
      <x:c r="Q4" s="167"/>
      <x:c r="R4" s="169"/>
    </x:row>
    <x:row r="5" ht="45" customHeight="1">
      <x:c r="A5" s="89" t="str">
        <x:v>investment_purchases</x:v>
      </x:c>
      <x:c r="B5" s="166" t="n">
        <x:v>306000000</x:v>
      </x:c>
      <x:c r="C5" s="167" t="str">
        <x:v>Purchases of investments</x:v>
      </x:c>
      <x:c r="D5" s="168" t="d">
        <x:v>2026-06-01T00:00:00.000Z</x:v>
      </x:c>
      <x:c r="E5" s="168" t="d">
        <x:v>2026-08-31T00:00:00.000Z</x:v>
      </x:c>
      <x:c r="F5" s="167" t="str">
        <x:v>10-Q</x:v>
      </x:c>
      <x:c r="G5" s="168" t="d">
        <x:v>2026-09-11T00:00:00.000Z</x:v>
      </x:c>
      <x:c r="H5" s="167" t="str">
        <x:v>0001193125-26-389274</x:v>
      </x:c>
      <x:c r="I5" s="167" t="str">
        <x:v>us-gaap:PaymentsToAcquireInvestments</x:v>
      </x:c>
      <x:c r="J5" s="167" t="str">
        <x:v>C_f2f9ad85-08df-4e59-8948-bfd9405570de</x:v>
      </x:c>
      <x:c r="K5" s="167" t="n">
        <x:v>6</x:v>
      </x:c>
      <x:c r="L5" s="167" t="str">
        <x:v>-6</x:v>
      </x:c>
      <x:c r="M5" s="167" t="str">
        <x:v>https://www.sec.gov/Archives/edgar/data/1341439/000119312526389274/orcl-20260831.htm</x:v>
      </x:c>
      <x:c r="N5" s="167" t="str">
        <x:v>10-Q cash flows, p. 5</x:v>
      </x:c>
      <x:c r="O5" s="167"/>
      <x:c r="P5" s="167"/>
      <x:c r="Q5" s="167"/>
      <x:c r="R5" s="169"/>
    </x:row>
    <x:row r="6" ht="45" customHeight="1">
      <x:c r="A6" s="89" t="str">
        <x:v>investment_proceeds</x:v>
      </x:c>
      <x:c r="B6" s="166" t="n">
        <x:v>225000000</x:v>
      </x:c>
      <x:c r="C6" s="167" t="str">
        <x:v>Sales and maturities of investments</x:v>
      </x:c>
      <x:c r="D6" s="168" t="d">
        <x:v>2026-06-01T00:00:00.000Z</x:v>
      </x:c>
      <x:c r="E6" s="168" t="d">
        <x:v>2026-08-31T00:00:00.000Z</x:v>
      </x:c>
      <x:c r="F6" s="167" t="str">
        <x:v>10-Q</x:v>
      </x:c>
      <x:c r="G6" s="168" t="d">
        <x:v>2026-09-11T00:00:00.000Z</x:v>
      </x:c>
      <x:c r="H6" s="167" t="str">
        <x:v>0001193125-26-389274</x:v>
      </x:c>
      <x:c r="I6" s="167" t="str">
        <x:v>us-gaap:ProceedsFromSaleAndMaturityOfAvailableForSaleSecurities</x:v>
      </x:c>
      <x:c r="J6" s="167" t="str">
        <x:v>C_f2f9ad85-08df-4e59-8948-bfd9405570de</x:v>
      </x:c>
      <x:c r="K6" s="167" t="n">
        <x:v>6</x:v>
      </x:c>
      <x:c r="L6" s="167" t="str">
        <x:v>-6</x:v>
      </x:c>
      <x:c r="M6" s="167" t="str">
        <x:v>https://www.sec.gov/Archives/edgar/data/1341439/000119312526389274/orcl-20260831.htm</x:v>
      </x:c>
      <x:c r="N6" s="167" t="str">
        <x:v>10-Q cash flows, p. 5</x:v>
      </x:c>
      <x:c r="O6" s="167"/>
      <x:c r="P6" s="167"/>
      <x:c r="Q6" s="167"/>
      <x:c r="R6" s="169"/>
    </x:row>
    <x:row r="7" ht="45" customHeight="1">
      <x:c r="A7" s="89" t="str">
        <x:v>investing</x:v>
      </x:c>
      <x:c r="B7" s="166" t="n">
        <x:v>-28580000000</x:v>
      </x:c>
      <x:c r="C7" s="167" t="str">
        <x:v>Reported net investing cash flow</x:v>
      </x:c>
      <x:c r="D7" s="168" t="d">
        <x:v>2026-06-01T00:00:00.000Z</x:v>
      </x:c>
      <x:c r="E7" s="168" t="d">
        <x:v>2026-08-31T00:00:00.000Z</x:v>
      </x:c>
      <x:c r="F7" s="167" t="str">
        <x:v>10-Q</x:v>
      </x:c>
      <x:c r="G7" s="168" t="d">
        <x:v>2026-09-11T00:00:00.000Z</x:v>
      </x:c>
      <x:c r="H7" s="167" t="str">
        <x:v>0001193125-26-389274</x:v>
      </x:c>
      <x:c r="I7" s="167" t="str">
        <x:v>us-gaap:NetCashProvidedByUsedInInvestingActivities</x:v>
      </x:c>
      <x:c r="J7" s="167" t="str">
        <x:v>C_f2f9ad85-08df-4e59-8948-bfd9405570de</x:v>
      </x:c>
      <x:c r="K7" s="167" t="n">
        <x:v>6</x:v>
      </x:c>
      <x:c r="L7" s="167" t="str">
        <x:v>-6</x:v>
      </x:c>
      <x:c r="M7" s="167" t="str">
        <x:v>https://www.sec.gov/Archives/edgar/data/1341439/000119312526389274/orcl-20260831.htm</x:v>
      </x:c>
      <x:c r="N7" s="167" t="str">
        <x:v>10-Q cash flows, p. 5</x:v>
      </x:c>
      <x:c r="O7" s="167"/>
      <x:c r="P7" s="167"/>
      <x:c r="Q7" s="167"/>
      <x:c r="R7" s="169"/>
    </x:row>
    <x:row r="8" ht="45" customHeight="1">
      <x:c r="A8" s="89" t="str">
        <x:v>equity</x:v>
      </x:c>
      <x:c r="B8" s="166" t="n">
        <x:v>19909000000</x:v>
      </x:c>
      <x:c r="C8" s="167" t="str">
        <x:v>ATM common-stock proceeds, net</x:v>
      </x:c>
      <x:c r="D8" s="168" t="d">
        <x:v>2026-06-01T00:00:00.000Z</x:v>
      </x:c>
      <x:c r="E8" s="168" t="d">
        <x:v>2026-08-31T00:00:00.000Z</x:v>
      </x:c>
      <x:c r="F8" s="167" t="str">
        <x:v>10-Q</x:v>
      </x:c>
      <x:c r="G8" s="168" t="d">
        <x:v>2026-09-11T00:00:00.000Z</x:v>
      </x:c>
      <x:c r="H8" s="167" t="str">
        <x:v>0001193125-26-389274</x:v>
      </x:c>
      <x:c r="I8" s="167" t="str">
        <x:v>us-gaap:ProceedsFromIssuanceOfCommonStock</x:v>
      </x:c>
      <x:c r="J8" s="167" t="str">
        <x:v>C_f2f9ad85-08df-4e59-8948-bfd9405570de</x:v>
      </x:c>
      <x:c r="K8" s="167" t="n">
        <x:v>6</x:v>
      </x:c>
      <x:c r="L8" s="167" t="str">
        <x:v>-6</x:v>
      </x:c>
      <x:c r="M8" s="167" t="str">
        <x:v>https://www.sec.gov/Archives/edgar/data/1341439/000119312526389274/orcl-20260831.htm</x:v>
      </x:c>
      <x:c r="N8" s="167" t="str">
        <x:v>10-Q cash flows, p. 5</x:v>
      </x:c>
      <x:c r="O8" s="167"/>
      <x:c r="P8" s="167"/>
      <x:c r="Q8" s="167"/>
      <x:c r="R8" s="169"/>
    </x:row>
    <x:row r="9" ht="45" customHeight="1">
      <x:c r="A9" s="89" t="str">
        <x:v>employee</x:v>
      </x:c>
      <x:c r="B9" s="166" t="n">
        <x:v>41000000</x:v>
      </x:c>
      <x:c r="C9" s="167" t="str">
        <x:v>Net employee stock-program proceeds</x:v>
      </x:c>
      <x:c r="D9" s="168" t="d">
        <x:v>2026-06-01T00:00:00.000Z</x:v>
      </x:c>
      <x:c r="E9" s="168" t="d">
        <x:v>2026-08-31T00:00:00.000Z</x:v>
      </x:c>
      <x:c r="F9" s="167" t="str">
        <x:v>10-Q</x:v>
      </x:c>
      <x:c r="G9" s="168" t="d">
        <x:v>2026-09-11T00:00:00.000Z</x:v>
      </x:c>
      <x:c r="H9" s="167" t="str">
        <x:v>0001193125-26-389274</x:v>
      </x:c>
      <x:c r="I9" s="167" t="str">
        <x:v>us-gaap:ProceedsFromIssuanceOfSharesUnderIncentiveAndShareBasedCompensationPlans</x:v>
      </x:c>
      <x:c r="J9" s="167" t="str">
        <x:v>C_f2f9ad85-08df-4e59-8948-bfd9405570de</x:v>
      </x:c>
      <x:c r="K9" s="167" t="n">
        <x:v>6</x:v>
      </x:c>
      <x:c r="L9" s="167" t="str">
        <x:v>-6</x:v>
      </x:c>
      <x:c r="M9" s="167" t="str">
        <x:v>https://www.sec.gov/Archives/edgar/data/1341439/000119312526389274/orcl-20260831.htm</x:v>
      </x:c>
      <x:c r="N9" s="167" t="str">
        <x:v>10-Q cash flows, p. 5</x:v>
      </x:c>
      <x:c r="O9" s="167"/>
      <x:c r="P9" s="167"/>
      <x:c r="Q9" s="167"/>
      <x:c r="R9" s="169"/>
    </x:row>
    <x:row r="10" ht="45" customHeight="1">
      <x:c r="A10" s="89" t="str">
        <x:v>dividends</x:v>
      </x:c>
      <x:c r="B10" s="166" t="n">
        <x:v>1565000000</x:v>
      </x:c>
      <x:c r="C10" s="167" t="str">
        <x:v>Cash dividends to stockholders</x:v>
      </x:c>
      <x:c r="D10" s="168" t="d">
        <x:v>2026-06-01T00:00:00.000Z</x:v>
      </x:c>
      <x:c r="E10" s="168" t="d">
        <x:v>2026-08-31T00:00:00.000Z</x:v>
      </x:c>
      <x:c r="F10" s="167" t="str">
        <x:v>10-Q</x:v>
      </x:c>
      <x:c r="G10" s="168" t="d">
        <x:v>2026-09-11T00:00:00.000Z</x:v>
      </x:c>
      <x:c r="H10" s="167" t="str">
        <x:v>0001193125-26-389274</x:v>
      </x:c>
      <x:c r="I10" s="167" t="str">
        <x:v>us-gaap:PaymentsOfDividendsCommonStock</x:v>
      </x:c>
      <x:c r="J10" s="167" t="str">
        <x:v>C_f2f9ad85-08df-4e59-8948-bfd9405570de</x:v>
      </x:c>
      <x:c r="K10" s="167" t="n">
        <x:v>6</x:v>
      </x:c>
      <x:c r="L10" s="167" t="str">
        <x:v>-6</x:v>
      </x:c>
      <x:c r="M10" s="167" t="str">
        <x:v>https://www.sec.gov/Archives/edgar/data/1341439/000119312526389274/orcl-20260831.htm</x:v>
      </x:c>
      <x:c r="N10" s="167" t="str">
        <x:v>10-Q cash flows, p. 5</x:v>
      </x:c>
      <x:c r="O10" s="167"/>
      <x:c r="P10" s="167"/>
      <x:c r="Q10" s="167"/>
      <x:c r="R10" s="169"/>
    </x:row>
    <x:row r="11" ht="45" customHeight="1">
      <x:c r="A11" s="89" t="str">
        <x:v>cp</x:v>
      </x:c>
      <x:c r="B11" s="166" t="n">
        <x:v>0</x:v>
      </x:c>
      <x:c r="C11" s="167" t="str">
        <x:v>Commercial-paper repayments, cash-flow row</x:v>
      </x:c>
      <x:c r="D11" s="168" t="d">
        <x:v>2026-06-01T00:00:00.000Z</x:v>
      </x:c>
      <x:c r="E11" s="168" t="d">
        <x:v>2026-08-31T00:00:00.000Z</x:v>
      </x:c>
      <x:c r="F11" s="167" t="str">
        <x:v>10-Q</x:v>
      </x:c>
      <x:c r="G11" s="168" t="d">
        <x:v>2026-09-11T00:00:00.000Z</x:v>
      </x:c>
      <x:c r="H11" s="167" t="str">
        <x:v>0001193125-26-389274</x:v>
      </x:c>
      <x:c r="I11" s="167" t="str">
        <x:v>us-gaap:RepaymentsOfCommercialPaper</x:v>
      </x:c>
      <x:c r="J11" s="167" t="str">
        <x:v>C_f2f9ad85-08df-4e59-8948-bfd9405570de</x:v>
      </x:c>
      <x:c r="K11" s="167" t="n">
        <x:v>6</x:v>
      </x:c>
      <x:c r="L11" s="167" t="str">
        <x:v>-6</x:v>
      </x:c>
      <x:c r="M11" s="167" t="str">
        <x:v>https://www.sec.gov/Archives/edgar/data/1341439/000119312526389274/orcl-20260831.htm</x:v>
      </x:c>
      <x:c r="N11" s="167" t="str">
        <x:v>10-Q cash flows, p. 5</x:v>
      </x:c>
      <x:c r="O11" s="167"/>
      <x:c r="P11" s="167"/>
      <x:c r="Q11" s="167"/>
      <x:c r="R11" s="169"/>
    </x:row>
    <x:row r="12" ht="45" customHeight="1">
      <x:c r="A12" s="89" t="str">
        <x:v>capex_financing</x:v>
      </x:c>
      <x:c r="B12" s="166" t="n">
        <x:v>-830000000</x:v>
      </x:c>
      <x:c r="C12" s="167" t="str">
        <x:v>Net capex-financing cash flow</x:v>
      </x:c>
      <x:c r="D12" s="168" t="d">
        <x:v>2026-06-01T00:00:00.000Z</x:v>
      </x:c>
      <x:c r="E12" s="168" t="d">
        <x:v>2026-08-31T00:00:00.000Z</x:v>
      </x:c>
      <x:c r="F12" s="167" t="str">
        <x:v>10-Q</x:v>
      </x:c>
      <x:c r="G12" s="168" t="d">
        <x:v>2026-09-11T00:00:00.000Z</x:v>
      </x:c>
      <x:c r="H12" s="167" t="str">
        <x:v>0001193125-26-389274</x:v>
      </x:c>
      <x:c r="I12" s="167" t="str">
        <x:v>orcl:ProceedsFromRepaymentsOfShort-TermFinancingRelatedToCapitalExpendituresNet</x:v>
      </x:c>
      <x:c r="J12" s="167" t="str">
        <x:v>C_f2f9ad85-08df-4e59-8948-bfd9405570de</x:v>
      </x:c>
      <x:c r="K12" s="167" t="n">
        <x:v>6</x:v>
      </x:c>
      <x:c r="L12" s="167" t="str">
        <x:v>-6</x:v>
      </x:c>
      <x:c r="M12" s="167" t="str">
        <x:v>https://www.sec.gov/Archives/edgar/data/1341439/000119312526389274/orcl-20260831.htm</x:v>
      </x:c>
      <x:c r="N12" s="167" t="str">
        <x:v>10-Q cash flows, p. 5</x:v>
      </x:c>
      <x:c r="O12" s="167"/>
      <x:c r="P12" s="167"/>
      <x:c r="Q12" s="167"/>
      <x:c r="R12" s="169"/>
    </x:row>
    <x:row r="13" ht="45" customHeight="1">
      <x:c r="A13" s="89" t="str">
        <x:v>debt_repayments</x:v>
      </x:c>
      <x:c r="B13" s="166" t="n">
        <x:v>4202000000</x:v>
      </x:c>
      <x:c r="C13" s="167" t="str">
        <x:v>Senior notes, term loans and other repayments</x:v>
      </x:c>
      <x:c r="D13" s="168" t="d">
        <x:v>2026-06-01T00:00:00.000Z</x:v>
      </x:c>
      <x:c r="E13" s="168" t="d">
        <x:v>2026-08-31T00:00:00.000Z</x:v>
      </x:c>
      <x:c r="F13" s="167" t="str">
        <x:v>10-Q</x:v>
      </x:c>
      <x:c r="G13" s="168" t="d">
        <x:v>2026-09-11T00:00:00.000Z</x:v>
      </x:c>
      <x:c r="H13" s="167" t="str">
        <x:v>0001193125-26-389274</x:v>
      </x:c>
      <x:c r="I13" s="167" t="str">
        <x:v>us-gaap:RepaymentsOfDebt</x:v>
      </x:c>
      <x:c r="J13" s="167" t="str">
        <x:v>C_f2f9ad85-08df-4e59-8948-bfd9405570de</x:v>
      </x:c>
      <x:c r="K13" s="167" t="n">
        <x:v>6</x:v>
      </x:c>
      <x:c r="L13" s="167" t="str">
        <x:v>-6</x:v>
      </x:c>
      <x:c r="M13" s="167" t="str">
        <x:v>https://www.sec.gov/Archives/edgar/data/1341439/000119312526389274/orcl-20260831.htm</x:v>
      </x:c>
      <x:c r="N13" s="167" t="str">
        <x:v>10-Q cash flows, p. 5</x:v>
      </x:c>
      <x:c r="O13" s="167"/>
      <x:c r="P13" s="167"/>
      <x:c r="Q13" s="167"/>
      <x:c r="R13" s="169"/>
    </x:row>
    <x:row r="14" ht="45" customHeight="1">
      <x:c r="A14" s="89" t="str">
        <x:v>other_financing</x:v>
      </x:c>
      <x:c r="B14" s="166" t="n">
        <x:v>-242000000</x:v>
      </x:c>
      <x:c r="C14" s="167" t="str">
        <x:v>Other financing cash flow, net</x:v>
      </x:c>
      <x:c r="D14" s="168" t="d">
        <x:v>2026-06-01T00:00:00.000Z</x:v>
      </x:c>
      <x:c r="E14" s="168" t="d">
        <x:v>2026-08-31T00:00:00.000Z</x:v>
      </x:c>
      <x:c r="F14" s="167" t="str">
        <x:v>10-Q</x:v>
      </x:c>
      <x:c r="G14" s="168" t="d">
        <x:v>2026-09-11T00:00:00.000Z</x:v>
      </x:c>
      <x:c r="H14" s="167" t="str">
        <x:v>0001193125-26-389274</x:v>
      </x:c>
      <x:c r="I14" s="167" t="str">
        <x:v>us-gaap:ProceedsFromPaymentsForOtherFinancingActivities</x:v>
      </x:c>
      <x:c r="J14" s="167" t="str">
        <x:v>C_f2f9ad85-08df-4e59-8948-bfd9405570de</x:v>
      </x:c>
      <x:c r="K14" s="167" t="n">
        <x:v>6</x:v>
      </x:c>
      <x:c r="L14" s="167" t="str">
        <x:v>-6</x:v>
      </x:c>
      <x:c r="M14" s="167" t="str">
        <x:v>https://www.sec.gov/Archives/edgar/data/1341439/000119312526389274/orcl-20260831.htm</x:v>
      </x:c>
      <x:c r="N14" s="167" t="str">
        <x:v>10-Q cash flows, p. 5</x:v>
      </x:c>
      <x:c r="O14" s="167"/>
      <x:c r="P14" s="167"/>
      <x:c r="Q14" s="167"/>
      <x:c r="R14" s="169"/>
    </x:row>
    <x:row r="15" ht="45" customHeight="1">
      <x:c r="A15" s="89" t="str">
        <x:v>financing</x:v>
      </x:c>
      <x:c r="B15" s="166" t="n">
        <x:v>13111000000</x:v>
      </x:c>
      <x:c r="C15" s="167" t="str">
        <x:v>Reported net financing cash flow</x:v>
      </x:c>
      <x:c r="D15" s="168" t="d">
        <x:v>2026-06-01T00:00:00.000Z</x:v>
      </x:c>
      <x:c r="E15" s="168" t="d">
        <x:v>2026-08-31T00:00:00.000Z</x:v>
      </x:c>
      <x:c r="F15" s="167" t="str">
        <x:v>10-Q</x:v>
      </x:c>
      <x:c r="G15" s="168" t="d">
        <x:v>2026-09-11T00:00:00.000Z</x:v>
      </x:c>
      <x:c r="H15" s="167" t="str">
        <x:v>0001193125-26-389274</x:v>
      </x:c>
      <x:c r="I15" s="167" t="str">
        <x:v>us-gaap:NetCashProvidedByUsedInFinancingActivities</x:v>
      </x:c>
      <x:c r="J15" s="167" t="str">
        <x:v>C_f2f9ad85-08df-4e59-8948-bfd9405570de</x:v>
      </x:c>
      <x:c r="K15" s="167" t="n">
        <x:v>6</x:v>
      </x:c>
      <x:c r="L15" s="167" t="str">
        <x:v>-6</x:v>
      </x:c>
      <x:c r="M15" s="167" t="str">
        <x:v>https://www.sec.gov/Archives/edgar/data/1341439/000119312526389274/orcl-20260831.htm</x:v>
      </x:c>
      <x:c r="N15" s="167" t="str">
        <x:v>10-Q cash flows, p. 5</x:v>
      </x:c>
      <x:c r="O15" s="167"/>
      <x:c r="P15" s="167"/>
      <x:c r="Q15" s="167"/>
      <x:c r="R15" s="169"/>
    </x:row>
    <x:row r="16" ht="45" customHeight="1">
      <x:c r="A16" s="89" t="str">
        <x:v>fx</x:v>
      </x:c>
      <x:c r="B16" s="166" t="n">
        <x:v>11000000</x:v>
      </x:c>
      <x:c r="C16" s="167" t="str">
        <x:v>Exchange-rate effect on cash</x:v>
      </x:c>
      <x:c r="D16" s="168" t="d">
        <x:v>2026-06-01T00:00:00.000Z</x:v>
      </x:c>
      <x:c r="E16" s="168" t="d">
        <x:v>2026-08-31T00:00:00.000Z</x:v>
      </x:c>
      <x:c r="F16" s="167" t="str">
        <x:v>10-Q</x:v>
      </x:c>
      <x:c r="G16" s="168" t="d">
        <x:v>2026-09-11T00:00:00.000Z</x:v>
      </x:c>
      <x:c r="H16" s="167" t="str">
        <x:v>0001193125-26-389274</x:v>
      </x:c>
      <x:c r="I16" s="167" t="str">
        <x:v>us-gaap:EffectOfExchangeRateOnCashCashEquivalentsRestrictedCashAndRestrictedCashEquivalentsIncludingDisposalGroupAndDiscontinuedOperations</x:v>
      </x:c>
      <x:c r="J16" s="167" t="str">
        <x:v>C_f2f9ad85-08df-4e59-8948-bfd9405570de</x:v>
      </x:c>
      <x:c r="K16" s="167" t="n">
        <x:v>6</x:v>
      </x:c>
      <x:c r="L16" s="167" t="str">
        <x:v>-6</x:v>
      </x:c>
      <x:c r="M16" s="167" t="str">
        <x:v>https://www.sec.gov/Archives/edgar/data/1341439/000119312526389274/orcl-20260831.htm</x:v>
      </x:c>
      <x:c r="N16" s="167" t="str">
        <x:v>10-Q cash flows, p. 5</x:v>
      </x:c>
      <x:c r="O16" s="167"/>
      <x:c r="P16" s="167"/>
      <x:c r="Q16" s="167"/>
      <x:c r="R16" s="169"/>
    </x:row>
    <x:row r="17" ht="45" customHeight="1">
      <x:c r="A17" s="89" t="str">
        <x:v>change</x:v>
      </x:c>
      <x:c r="B17" s="166" t="n">
        <x:v>7645000000</x:v>
      </x:c>
      <x:c r="C17" s="167" t="str">
        <x:v>Reported increase in cash including restricted cash</x:v>
      </x:c>
      <x:c r="D17" s="168" t="d">
        <x:v>2026-06-01T00:00:00.000Z</x:v>
      </x:c>
      <x:c r="E17" s="168" t="d">
        <x:v>2026-08-31T00:00:00.000Z</x:v>
      </x:c>
      <x:c r="F17" s="167" t="str">
        <x:v>10-Q</x:v>
      </x:c>
      <x:c r="G17" s="168" t="d">
        <x:v>2026-09-11T00:00:00.000Z</x:v>
      </x:c>
      <x:c r="H17" s="167" t="str">
        <x:v>0001193125-26-389274</x:v>
      </x:c>
      <x:c r="I17" s="167" t="str">
        <x:v>us-gaap:CashCashEquivalentsRestrictedCashAndRestrictedCashEquivalentsPeriodIncreaseDecreaseIncludingExchangeRateEffect</x:v>
      </x:c>
      <x:c r="J17" s="167" t="str">
        <x:v>C_f2f9ad85-08df-4e59-8948-bfd9405570de</x:v>
      </x:c>
      <x:c r="K17" s="167" t="n">
        <x:v>6</x:v>
      </x:c>
      <x:c r="L17" s="167" t="str">
        <x:v>-6</x:v>
      </x:c>
      <x:c r="M17" s="167" t="str">
        <x:v>https://www.sec.gov/Archives/edgar/data/1341439/000119312526389274/orcl-20260831.htm</x:v>
      </x:c>
      <x:c r="N17" s="167" t="str">
        <x:v>10-Q cash flows, p. 5</x:v>
      </x:c>
      <x:c r="O17" s="167"/>
      <x:c r="P17" s="167"/>
      <x:c r="Q17" s="167"/>
      <x:c r="R17" s="169"/>
    </x:row>
    <x:row r="18" ht="45" customHeight="1">
      <x:c r="A18" s="89" t="str">
        <x:v>unpaid_capex</x:v>
      </x:c>
      <x:c r="B18" s="166" t="n">
        <x:v>6247000000</x:v>
      </x:c>
      <x:c r="C18" s="167" t="str">
        <x:v>Unpaid capital expenditures, noncash disclosure</x:v>
      </x:c>
      <x:c r="D18" s="168" t="d">
        <x:v>2026-06-01T00:00:00.000Z</x:v>
      </x:c>
      <x:c r="E18" s="168" t="d">
        <x:v>2026-08-31T00:00:00.000Z</x:v>
      </x:c>
      <x:c r="F18" s="167" t="str">
        <x:v>10-Q</x:v>
      </x:c>
      <x:c r="G18" s="168" t="d">
        <x:v>2026-09-11T00:00:00.000Z</x:v>
      </x:c>
      <x:c r="H18" s="167" t="str">
        <x:v>0001193125-26-389274</x:v>
      </x:c>
      <x:c r="I18" s="167" t="str">
        <x:v>us-gaap:CapitalExpendituresIncurredButNotYetPaid</x:v>
      </x:c>
      <x:c r="J18" s="167" t="str">
        <x:v>C_f2f9ad85-08df-4e59-8948-bfd9405570de</x:v>
      </x:c>
      <x:c r="K18" s="167" t="n">
        <x:v>6</x:v>
      </x:c>
      <x:c r="L18" s="167" t="str">
        <x:v>-6</x:v>
      </x:c>
      <x:c r="M18" s="167" t="str">
        <x:v>https://www.sec.gov/Archives/edgar/data/1341439/000119312526389274/orcl-20260831.htm</x:v>
      </x:c>
      <x:c r="N18" s="167" t="str">
        <x:v>10-Q cash flows, p. 5</x:v>
      </x:c>
      <x:c r="O18" s="167"/>
      <x:c r="P18" s="167"/>
      <x:c r="Q18" s="167"/>
      <x:c r="R18" s="169"/>
    </x:row>
    <x:row r="19" ht="45" customHeight="1">
      <x:c r="A19" s="89" t="str">
        <x:v>opening_total</x:v>
      </x:c>
      <x:c r="B19" s="166" t="n">
        <x:v>31289000000</x:v>
      </x:c>
      <x:c r="C19" s="167" t="str">
        <x:v>Opening cash including restricted cash</x:v>
      </x:c>
      <x:c r="D19" s="168"/>
      <x:c r="E19" s="168" t="d">
        <x:v>2026-05-31T00:00:00.000Z</x:v>
      </x:c>
      <x:c r="F19" s="167" t="str">
        <x:v>10-Q</x:v>
      </x:c>
      <x:c r="G19" s="168" t="d">
        <x:v>2026-09-11T00:00:00.000Z</x:v>
      </x:c>
      <x:c r="H19" s="167" t="str">
        <x:v>0001193125-26-389274</x:v>
      </x:c>
      <x:c r="I19" s="167" t="str">
        <x:v>us-gaap:CashCashEquivalentsRestrictedCashAndRestrictedCashEquivalentsIncludingDisposalGroupAndDiscontinuedOperations</x:v>
      </x:c>
      <x:c r="J19" s="167" t="str">
        <x:v>C_12e5037a-2a82-46f6-80d2-b607649a6bc1</x:v>
      </x:c>
      <x:c r="K19" s="167" t="n">
        <x:v>6</x:v>
      </x:c>
      <x:c r="L19" s="167" t="str">
        <x:v>-6</x:v>
      </x:c>
      <x:c r="M19" s="167" t="str">
        <x:v>https://www.sec.gov/Archives/edgar/data/1341439/000119312526389274/orcl-20260831.htm</x:v>
      </x:c>
      <x:c r="N19" s="167" t="str">
        <x:v>10-Q balance sheet p. 1; cash reconciliation pp. 5–6</x:v>
      </x:c>
      <x:c r="O19" s="167"/>
      <x:c r="P19" s="167"/>
      <x:c r="Q19" s="167"/>
      <x:c r="R19" s="169"/>
    </x:row>
    <x:row r="20" ht="45" customHeight="1">
      <x:c r="A20" s="89" t="str">
        <x:v>closing_total</x:v>
      </x:c>
      <x:c r="B20" s="166" t="n">
        <x:v>38934000000</x:v>
      </x:c>
      <x:c r="C20" s="167" t="str">
        <x:v>Closing cash including restricted cash</x:v>
      </x:c>
      <x:c r="D20" s="168"/>
      <x:c r="E20" s="168" t="d">
        <x:v>2026-08-31T00:00:00.000Z</x:v>
      </x:c>
      <x:c r="F20" s="167" t="str">
        <x:v>10-Q</x:v>
      </x:c>
      <x:c r="G20" s="168" t="d">
        <x:v>2026-09-11T00:00:00.000Z</x:v>
      </x:c>
      <x:c r="H20" s="167" t="str">
        <x:v>0001193125-26-389274</x:v>
      </x:c>
      <x:c r="I20" s="167" t="str">
        <x:v>us-gaap:CashCashEquivalentsRestrictedCashAndRestrictedCashEquivalentsIncludingDisposalGroupAndDiscontinuedOperations</x:v>
      </x:c>
      <x:c r="J20" s="167" t="str">
        <x:v>C_6aa4717d-0551-43f7-9cf4-c8a0049a656e</x:v>
      </x:c>
      <x:c r="K20" s="167" t="n">
        <x:v>6</x:v>
      </x:c>
      <x:c r="L20" s="167" t="str">
        <x:v>-6</x:v>
      </x:c>
      <x:c r="M20" s="167" t="str">
        <x:v>https://www.sec.gov/Archives/edgar/data/1341439/000119312526389274/orcl-20260831.htm</x:v>
      </x:c>
      <x:c r="N20" s="167" t="str">
        <x:v>10-Q balance sheet p. 1; cash reconciliation pp. 5–6</x:v>
      </x:c>
      <x:c r="O20" s="167"/>
      <x:c r="P20" s="167"/>
      <x:c r="Q20" s="167"/>
      <x:c r="R20" s="169"/>
    </x:row>
    <x:row r="21" ht="45" customHeight="1">
      <x:c r="A21" s="89" t="str">
        <x:v>closing_cash</x:v>
      </x:c>
      <x:c r="B21" s="166" t="n">
        <x:v>36369000000</x:v>
      </x:c>
      <x:c r="C21" s="167" t="str">
        <x:v>Cash and equivalents excluding restricted cash</x:v>
      </x:c>
      <x:c r="D21" s="168"/>
      <x:c r="E21" s="168" t="d">
        <x:v>2026-08-31T00:00:00.000Z</x:v>
      </x:c>
      <x:c r="F21" s="167" t="str">
        <x:v>10-Q</x:v>
      </x:c>
      <x:c r="G21" s="168" t="d">
        <x:v>2026-09-11T00:00:00.000Z</x:v>
      </x:c>
      <x:c r="H21" s="167" t="str">
        <x:v>0001193125-26-389274</x:v>
      </x:c>
      <x:c r="I21" s="167" t="str">
        <x:v>us-gaap:CashAndCashEquivalentsAtCarryingValue</x:v>
      </x:c>
      <x:c r="J21" s="167" t="str">
        <x:v>C_6aa4717d-0551-43f7-9cf4-c8a0049a656e</x:v>
      </x:c>
      <x:c r="K21" s="167" t="n">
        <x:v>6</x:v>
      </x:c>
      <x:c r="L21" s="167" t="str">
        <x:v>-6</x:v>
      </x:c>
      <x:c r="M21" s="167" t="str">
        <x:v>https://www.sec.gov/Archives/edgar/data/1341439/000119312526389274/orcl-20260831.htm</x:v>
      </x:c>
      <x:c r="N21" s="167" t="str">
        <x:v>10-Q balance sheet p. 1; cash reconciliation pp. 5–6</x:v>
      </x:c>
      <x:c r="O21" s="167"/>
      <x:c r="P21" s="167"/>
      <x:c r="Q21" s="167"/>
      <x:c r="R21" s="169"/>
    </x:row>
    <x:row r="22" ht="45" customHeight="1">
      <x:c r="A22" s="89" t="str">
        <x:v>not_commenced</x:v>
      </x:c>
      <x:c r="B22" s="166" t="n">
        <x:v>288000000000</x:v>
      </x:c>
      <x:c r="C22" s="167" t="str">
        <x:v>Operating leases not yet commenced</x:v>
      </x:c>
      <x:c r="D22" s="168"/>
      <x:c r="E22" s="168" t="d">
        <x:v>2026-08-31T00:00:00.000Z</x:v>
      </x:c>
      <x:c r="F22" s="167" t="str">
        <x:v>10-Q</x:v>
      </x:c>
      <x:c r="G22" s="168" t="d">
        <x:v>2026-09-11T00:00:00.000Z</x:v>
      </x:c>
      <x:c r="H22" s="167" t="str">
        <x:v>0001193125-26-389274</x:v>
      </x:c>
      <x:c r="I22" s="167" t="str">
        <x:v>orcl:LesseeOperatingLeaseLeaseNotYetCommencedLeaseCommitments</x:v>
      </x:c>
      <x:c r="J22" s="167" t="str">
        <x:v>C_6aa4717d-0551-43f7-9cf4-c8a0049a656e</x:v>
      </x:c>
      <x:c r="K22" s="167" t="n">
        <x:v>9</x:v>
      </x:c>
      <x:c r="L22" s="167" t="str">
        <x:v>-9</x:v>
      </x:c>
      <x:c r="M22" s="167" t="str">
        <x:v>https://www.sec.gov/Archives/edgar/data/1341439/000119312526389274/orcl-20260831.htm</x:v>
      </x:c>
      <x:c r="N22" s="167" t="str">
        <x:v>10-Q Note 6, p. 13</x:v>
      </x:c>
      <x:c r="O22" s="167"/>
      <x:c r="P22" s="167"/>
      <x:c r="Q22" s="167"/>
      <x:c r="R22" s="169"/>
    </x:row>
    <x:row r="23" ht="45" customHeight="1">
      <x:c r="A23" s="89" t="str">
        <x:v>operating_0</x:v>
      </x:c>
      <x:c r="B23" s="166" t="n">
        <x:v>3219000000</x:v>
      </x:c>
      <x:c r="C23" s="167" t="str">
        <x:v>Operating payments: Remainder FY2027</x:v>
      </x:c>
      <x:c r="D23" s="168"/>
      <x:c r="E23" s="168" t="d">
        <x:v>2026-08-31T00:00:00.000Z</x:v>
      </x:c>
      <x:c r="F23" s="167" t="str">
        <x:v>10-Q</x:v>
      </x:c>
      <x:c r="G23" s="168" t="d">
        <x:v>2026-09-11T00:00:00.000Z</x:v>
      </x:c>
      <x:c r="H23" s="167" t="str">
        <x:v>0001193125-26-389274</x:v>
      </x:c>
      <x:c r="I23" s="167" t="str">
        <x:v>us-gaap:LesseeOperatingLeaseLiabilityPaymentsRemainderOfFiscalYear</x:v>
      </x:c>
      <x:c r="J23" s="167" t="str">
        <x:v>C_6aa4717d-0551-43f7-9cf4-c8a0049a656e</x:v>
      </x:c>
      <x:c r="K23" s="167" t="n">
        <x:v>6</x:v>
      </x:c>
      <x:c r="L23" s="167" t="str">
        <x:v>-6</x:v>
      </x:c>
      <x:c r="M23" s="167" t="str">
        <x:v>https://www.sec.gov/Archives/edgar/data/1341439/000119312526389274/orcl-20260831.htm</x:v>
      </x:c>
      <x:c r="N23" s="167" t="str">
        <x:v>10-Q Note 6, pp. 12–13</x:v>
      </x:c>
      <x:c r="O23" s="167"/>
      <x:c r="P23" s="167"/>
      <x:c r="Q23" s="167"/>
      <x:c r="R23" s="169"/>
    </x:row>
    <x:row r="24" ht="45" customHeight="1">
      <x:c r="A24" s="89" t="str">
        <x:v>operating_1</x:v>
      </x:c>
      <x:c r="B24" s="166" t="n">
        <x:v>4135000000</x:v>
      </x:c>
      <x:c r="C24" s="167" t="str">
        <x:v>Operating payments: FY2028</x:v>
      </x:c>
      <x:c r="D24" s="168"/>
      <x:c r="E24" s="168" t="d">
        <x:v>2026-08-31T00:00:00.000Z</x:v>
      </x:c>
      <x:c r="F24" s="167" t="str">
        <x:v>10-Q</x:v>
      </x:c>
      <x:c r="G24" s="168" t="d">
        <x:v>2026-09-11T00:00:00.000Z</x:v>
      </x:c>
      <x:c r="H24" s="167" t="str">
        <x:v>0001193125-26-389274</x:v>
      </x:c>
      <x:c r="I24" s="167" t="str">
        <x:v>us-gaap:LesseeOperatingLeaseLiabilityPaymentsDueNextTwelveMonths</x:v>
      </x:c>
      <x:c r="J24" s="167" t="str">
        <x:v>C_6aa4717d-0551-43f7-9cf4-c8a0049a656e</x:v>
      </x:c>
      <x:c r="K24" s="167" t="n">
        <x:v>6</x:v>
      </x:c>
      <x:c r="L24" s="167" t="str">
        <x:v>-6</x:v>
      </x:c>
      <x:c r="M24" s="167" t="str">
        <x:v>https://www.sec.gov/Archives/edgar/data/1341439/000119312526389274/orcl-20260831.htm</x:v>
      </x:c>
      <x:c r="N24" s="167" t="str">
        <x:v>10-Q Note 6, pp. 12–13</x:v>
      </x:c>
      <x:c r="O24" s="167"/>
      <x:c r="P24" s="167"/>
      <x:c r="Q24" s="167"/>
      <x:c r="R24" s="169"/>
    </x:row>
    <x:row r="25" ht="45" customHeight="1">
      <x:c r="A25" s="89" t="str">
        <x:v>operating_2</x:v>
      </x:c>
      <x:c r="B25" s="166" t="n">
        <x:v>4097000000</x:v>
      </x:c>
      <x:c r="C25" s="167" t="str">
        <x:v>Operating payments: FY2029</x:v>
      </x:c>
      <x:c r="D25" s="168"/>
      <x:c r="E25" s="168" t="d">
        <x:v>2026-08-31T00:00:00.000Z</x:v>
      </x:c>
      <x:c r="F25" s="167" t="str">
        <x:v>10-Q</x:v>
      </x:c>
      <x:c r="G25" s="168" t="d">
        <x:v>2026-09-11T00:00:00.000Z</x:v>
      </x:c>
      <x:c r="H25" s="167" t="str">
        <x:v>0001193125-26-389274</x:v>
      </x:c>
      <x:c r="I25" s="167" t="str">
        <x:v>us-gaap:LesseeOperatingLeaseLiabilityPaymentsDueYearTwo</x:v>
      </x:c>
      <x:c r="J25" s="167" t="str">
        <x:v>C_6aa4717d-0551-43f7-9cf4-c8a0049a656e</x:v>
      </x:c>
      <x:c r="K25" s="167" t="n">
        <x:v>6</x:v>
      </x:c>
      <x:c r="L25" s="167" t="str">
        <x:v>-6</x:v>
      </x:c>
      <x:c r="M25" s="167" t="str">
        <x:v>https://www.sec.gov/Archives/edgar/data/1341439/000119312526389274/orcl-20260831.htm</x:v>
      </x:c>
      <x:c r="N25" s="167" t="str">
        <x:v>10-Q Note 6, pp. 12–13</x:v>
      </x:c>
      <x:c r="O25" s="167"/>
      <x:c r="P25" s="167"/>
      <x:c r="Q25" s="167"/>
      <x:c r="R25" s="169"/>
    </x:row>
    <x:row r="26" ht="45" customHeight="1">
      <x:c r="A26" s="89" t="str">
        <x:v>operating_3</x:v>
      </x:c>
      <x:c r="B26" s="166" t="n">
        <x:v>4109000000</x:v>
      </x:c>
      <x:c r="C26" s="167" t="str">
        <x:v>Operating payments: FY2030</x:v>
      </x:c>
      <x:c r="D26" s="168"/>
      <x:c r="E26" s="168" t="d">
        <x:v>2026-08-31T00:00:00.000Z</x:v>
      </x:c>
      <x:c r="F26" s="167" t="str">
        <x:v>10-Q</x:v>
      </x:c>
      <x:c r="G26" s="168" t="d">
        <x:v>2026-09-11T00:00:00.000Z</x:v>
      </x:c>
      <x:c r="H26" s="167" t="str">
        <x:v>0001193125-26-389274</x:v>
      </x:c>
      <x:c r="I26" s="167" t="str">
        <x:v>us-gaap:LesseeOperatingLeaseLiabilityPaymentsDueYearThree</x:v>
      </x:c>
      <x:c r="J26" s="167" t="str">
        <x:v>C_6aa4717d-0551-43f7-9cf4-c8a0049a656e</x:v>
      </x:c>
      <x:c r="K26" s="167" t="n">
        <x:v>6</x:v>
      </x:c>
      <x:c r="L26" s="167" t="str">
        <x:v>-6</x:v>
      </x:c>
      <x:c r="M26" s="167" t="str">
        <x:v>https://www.sec.gov/Archives/edgar/data/1341439/000119312526389274/orcl-20260831.htm</x:v>
      </x:c>
      <x:c r="N26" s="167" t="str">
        <x:v>10-Q Note 6, pp. 12–13</x:v>
      </x:c>
      <x:c r="O26" s="167"/>
      <x:c r="P26" s="167"/>
      <x:c r="Q26" s="167"/>
      <x:c r="R26" s="169"/>
    </x:row>
    <x:row r="27" ht="45" customHeight="1">
      <x:c r="A27" s="89" t="str">
        <x:v>operating_4</x:v>
      </x:c>
      <x:c r="B27" s="166" t="n">
        <x:v>4089000000</x:v>
      </x:c>
      <x:c r="C27" s="167" t="str">
        <x:v>Operating payments: FY2031</x:v>
      </x:c>
      <x:c r="D27" s="168"/>
      <x:c r="E27" s="168" t="d">
        <x:v>2026-08-31T00:00:00.000Z</x:v>
      </x:c>
      <x:c r="F27" s="167" t="str">
        <x:v>10-Q</x:v>
      </x:c>
      <x:c r="G27" s="168" t="d">
        <x:v>2026-09-11T00:00:00.000Z</x:v>
      </x:c>
      <x:c r="H27" s="167" t="str">
        <x:v>0001193125-26-389274</x:v>
      </x:c>
      <x:c r="I27" s="167" t="str">
        <x:v>us-gaap:LesseeOperatingLeaseLiabilityPaymentsDueYearFour</x:v>
      </x:c>
      <x:c r="J27" s="167" t="str">
        <x:v>C_6aa4717d-0551-43f7-9cf4-c8a0049a656e</x:v>
      </x:c>
      <x:c r="K27" s="167" t="n">
        <x:v>6</x:v>
      </x:c>
      <x:c r="L27" s="167" t="str">
        <x:v>-6</x:v>
      </x:c>
      <x:c r="M27" s="167" t="str">
        <x:v>https://www.sec.gov/Archives/edgar/data/1341439/000119312526389274/orcl-20260831.htm</x:v>
      </x:c>
      <x:c r="N27" s="167" t="str">
        <x:v>10-Q Note 6, pp. 12–13</x:v>
      </x:c>
      <x:c r="O27" s="167"/>
      <x:c r="P27" s="167"/>
      <x:c r="Q27" s="167"/>
      <x:c r="R27" s="169"/>
    </x:row>
    <x:row r="28" ht="45" customHeight="1">
      <x:c r="A28" s="89" t="str">
        <x:v>operating_5</x:v>
      </x:c>
      <x:c r="B28" s="166" t="n">
        <x:v>4030000000</x:v>
      </x:c>
      <x:c r="C28" s="167" t="str">
        <x:v>Operating payments: FY2032</x:v>
      </x:c>
      <x:c r="D28" s="168"/>
      <x:c r="E28" s="168" t="d">
        <x:v>2026-08-31T00:00:00.000Z</x:v>
      </x:c>
      <x:c r="F28" s="167" t="str">
        <x:v>10-Q</x:v>
      </x:c>
      <x:c r="G28" s="168" t="d">
        <x:v>2026-09-11T00:00:00.000Z</x:v>
      </x:c>
      <x:c r="H28" s="167" t="str">
        <x:v>0001193125-26-389274</x:v>
      </x:c>
      <x:c r="I28" s="167" t="str">
        <x:v>us-gaap:LesseeOperatingLeaseLiabilityPaymentsDueYearFive</x:v>
      </x:c>
      <x:c r="J28" s="167" t="str">
        <x:v>C_6aa4717d-0551-43f7-9cf4-c8a0049a656e</x:v>
      </x:c>
      <x:c r="K28" s="167" t="n">
        <x:v>6</x:v>
      </x:c>
      <x:c r="L28" s="167" t="str">
        <x:v>-6</x:v>
      </x:c>
      <x:c r="M28" s="167" t="str">
        <x:v>https://www.sec.gov/Archives/edgar/data/1341439/000119312526389274/orcl-20260831.htm</x:v>
      </x:c>
      <x:c r="N28" s="167" t="str">
        <x:v>10-Q Note 6, pp. 12–13</x:v>
      </x:c>
      <x:c r="O28" s="167"/>
      <x:c r="P28" s="167"/>
      <x:c r="Q28" s="167"/>
      <x:c r="R28" s="169"/>
    </x:row>
    <x:row r="29" ht="45" customHeight="1">
      <x:c r="A29" s="89" t="str">
        <x:v>operating_6</x:v>
      </x:c>
      <x:c r="B29" s="166" t="n">
        <x:v>24371000000</x:v>
      </x:c>
      <x:c r="C29" s="167" t="str">
        <x:v>Operating payments: Thereafter</x:v>
      </x:c>
      <x:c r="D29" s="168"/>
      <x:c r="E29" s="168" t="d">
        <x:v>2026-08-31T00:00:00.000Z</x:v>
      </x:c>
      <x:c r="F29" s="167" t="str">
        <x:v>10-Q</x:v>
      </x:c>
      <x:c r="G29" s="168" t="d">
        <x:v>2026-09-11T00:00:00.000Z</x:v>
      </x:c>
      <x:c r="H29" s="167" t="str">
        <x:v>0001193125-26-389274</x:v>
      </x:c>
      <x:c r="I29" s="167" t="str">
        <x:v>us-gaap:LesseeOperatingLeaseLiabilityPaymentsDueAfterYearFive</x:v>
      </x:c>
      <x:c r="J29" s="167" t="str">
        <x:v>C_6aa4717d-0551-43f7-9cf4-c8a0049a656e</x:v>
      </x:c>
      <x:c r="K29" s="167" t="n">
        <x:v>6</x:v>
      </x:c>
      <x:c r="L29" s="167" t="str">
        <x:v>-6</x:v>
      </x:c>
      <x:c r="M29" s="167" t="str">
        <x:v>https://www.sec.gov/Archives/edgar/data/1341439/000119312526389274/orcl-20260831.htm</x:v>
      </x:c>
      <x:c r="N29" s="167" t="str">
        <x:v>10-Q Note 6, pp. 12–13</x:v>
      </x:c>
      <x:c r="O29" s="167"/>
      <x:c r="P29" s="167"/>
      <x:c r="Q29" s="167"/>
      <x:c r="R29" s="169"/>
    </x:row>
    <x:row r="30" ht="45" customHeight="1">
      <x:c r="A30" s="89" t="str">
        <x:v>finance_0</x:v>
      </x:c>
      <x:c r="B30" s="166" t="n">
        <x:v>620000000</x:v>
      </x:c>
      <x:c r="C30" s="167" t="str">
        <x:v>Finance payments: Remainder FY2027</x:v>
      </x:c>
      <x:c r="D30" s="168"/>
      <x:c r="E30" s="168" t="d">
        <x:v>2026-08-31T00:00:00.000Z</x:v>
      </x:c>
      <x:c r="F30" s="167" t="str">
        <x:v>10-Q</x:v>
      </x:c>
      <x:c r="G30" s="168" t="d">
        <x:v>2026-09-11T00:00:00.000Z</x:v>
      </x:c>
      <x:c r="H30" s="167" t="str">
        <x:v>0001193125-26-389274</x:v>
      </x:c>
      <x:c r="I30" s="167" t="str">
        <x:v>us-gaap:FinanceLeaseLiabilityPaymentsRemainderOfFiscalYear</x:v>
      </x:c>
      <x:c r="J30" s="167" t="str">
        <x:v>C_6aa4717d-0551-43f7-9cf4-c8a0049a656e</x:v>
      </x:c>
      <x:c r="K30" s="167" t="n">
        <x:v>6</x:v>
      </x:c>
      <x:c r="L30" s="167" t="str">
        <x:v>-6</x:v>
      </x:c>
      <x:c r="M30" s="167" t="str">
        <x:v>https://www.sec.gov/Archives/edgar/data/1341439/000119312526389274/orcl-20260831.htm</x:v>
      </x:c>
      <x:c r="N30" s="167" t="str">
        <x:v>10-Q Note 6, pp. 12–13</x:v>
      </x:c>
      <x:c r="O30" s="167"/>
      <x:c r="P30" s="167"/>
      <x:c r="Q30" s="167"/>
      <x:c r="R30" s="169"/>
    </x:row>
    <x:row r="31" ht="45" customHeight="1">
      <x:c r="A31" s="89" t="str">
        <x:v>finance_1</x:v>
      </x:c>
      <x:c r="B31" s="166" t="n">
        <x:v>852000000</x:v>
      </x:c>
      <x:c r="C31" s="167" t="str">
        <x:v>Finance payments: FY2028</x:v>
      </x:c>
      <x:c r="D31" s="168"/>
      <x:c r="E31" s="168" t="d">
        <x:v>2026-08-31T00:00:00.000Z</x:v>
      </x:c>
      <x:c r="F31" s="167" t="str">
        <x:v>10-Q</x:v>
      </x:c>
      <x:c r="G31" s="168" t="d">
        <x:v>2026-09-11T00:00:00.000Z</x:v>
      </x:c>
      <x:c r="H31" s="167" t="str">
        <x:v>0001193125-26-389274</x:v>
      </x:c>
      <x:c r="I31" s="167" t="str">
        <x:v>us-gaap:FinanceLeaseLiabilityPaymentsDueNextTwelveMonths</x:v>
      </x:c>
      <x:c r="J31" s="167" t="str">
        <x:v>C_6aa4717d-0551-43f7-9cf4-c8a0049a656e</x:v>
      </x:c>
      <x:c r="K31" s="167" t="n">
        <x:v>6</x:v>
      </x:c>
      <x:c r="L31" s="167" t="str">
        <x:v>-6</x:v>
      </x:c>
      <x:c r="M31" s="167" t="str">
        <x:v>https://www.sec.gov/Archives/edgar/data/1341439/000119312526389274/orcl-20260831.htm</x:v>
      </x:c>
      <x:c r="N31" s="167" t="str">
        <x:v>10-Q Note 6, pp. 12–13</x:v>
      </x:c>
      <x:c r="O31" s="167"/>
      <x:c r="P31" s="167"/>
      <x:c r="Q31" s="167"/>
      <x:c r="R31" s="169"/>
    </x:row>
    <x:row r="32" ht="45" customHeight="1">
      <x:c r="A32" s="89" t="str">
        <x:v>finance_2</x:v>
      </x:c>
      <x:c r="B32" s="166" t="n">
        <x:v>923000000</x:v>
      </x:c>
      <x:c r="C32" s="167" t="str">
        <x:v>Finance payments: FY2029</x:v>
      </x:c>
      <x:c r="D32" s="168"/>
      <x:c r="E32" s="168" t="d">
        <x:v>2026-08-31T00:00:00.000Z</x:v>
      </x:c>
      <x:c r="F32" s="167" t="str">
        <x:v>10-Q</x:v>
      </x:c>
      <x:c r="G32" s="168" t="d">
        <x:v>2026-09-11T00:00:00.000Z</x:v>
      </x:c>
      <x:c r="H32" s="167" t="str">
        <x:v>0001193125-26-389274</x:v>
      </x:c>
      <x:c r="I32" s="167" t="str">
        <x:v>us-gaap:FinanceLeaseLiabilityPaymentsDueYearTwo</x:v>
      </x:c>
      <x:c r="J32" s="167" t="str">
        <x:v>C_6aa4717d-0551-43f7-9cf4-c8a0049a656e</x:v>
      </x:c>
      <x:c r="K32" s="167" t="n">
        <x:v>6</x:v>
      </x:c>
      <x:c r="L32" s="167" t="str">
        <x:v>-6</x:v>
      </x:c>
      <x:c r="M32" s="167" t="str">
        <x:v>https://www.sec.gov/Archives/edgar/data/1341439/000119312526389274/orcl-20260831.htm</x:v>
      </x:c>
      <x:c r="N32" s="167" t="str">
        <x:v>10-Q Note 6, pp. 12–13</x:v>
      </x:c>
      <x:c r="O32" s="167"/>
      <x:c r="P32" s="167"/>
      <x:c r="Q32" s="167"/>
      <x:c r="R32" s="169"/>
    </x:row>
    <x:row r="33" ht="45" customHeight="1">
      <x:c r="A33" s="89" t="str">
        <x:v>finance_3</x:v>
      </x:c>
      <x:c r="B33" s="166" t="n">
        <x:v>947000000</x:v>
      </x:c>
      <x:c r="C33" s="167" t="str">
        <x:v>Finance payments: FY2030</x:v>
      </x:c>
      <x:c r="D33" s="168"/>
      <x:c r="E33" s="168" t="d">
        <x:v>2026-08-31T00:00:00.000Z</x:v>
      </x:c>
      <x:c r="F33" s="167" t="str">
        <x:v>10-Q</x:v>
      </x:c>
      <x:c r="G33" s="168" t="d">
        <x:v>2026-09-11T00:00:00.000Z</x:v>
      </x:c>
      <x:c r="H33" s="167" t="str">
        <x:v>0001193125-26-389274</x:v>
      </x:c>
      <x:c r="I33" s="167" t="str">
        <x:v>us-gaap:FinanceLeaseLiabilityPaymentsDueYearThree</x:v>
      </x:c>
      <x:c r="J33" s="167" t="str">
        <x:v>C_6aa4717d-0551-43f7-9cf4-c8a0049a656e</x:v>
      </x:c>
      <x:c r="K33" s="167" t="n">
        <x:v>6</x:v>
      </x:c>
      <x:c r="L33" s="167" t="str">
        <x:v>-6</x:v>
      </x:c>
      <x:c r="M33" s="167" t="str">
        <x:v>https://www.sec.gov/Archives/edgar/data/1341439/000119312526389274/orcl-20260831.htm</x:v>
      </x:c>
      <x:c r="N33" s="167" t="str">
        <x:v>10-Q Note 6, pp. 12–13</x:v>
      </x:c>
      <x:c r="O33" s="167"/>
      <x:c r="P33" s="167"/>
      <x:c r="Q33" s="167"/>
      <x:c r="R33" s="169"/>
    </x:row>
    <x:row r="34" ht="45" customHeight="1">
      <x:c r="A34" s="89" t="str">
        <x:v>finance_4</x:v>
      </x:c>
      <x:c r="B34" s="166" t="n">
        <x:v>971000000</x:v>
      </x:c>
      <x:c r="C34" s="167" t="str">
        <x:v>Finance payments: FY2031</x:v>
      </x:c>
      <x:c r="D34" s="168"/>
      <x:c r="E34" s="168" t="d">
        <x:v>2026-08-31T00:00:00.000Z</x:v>
      </x:c>
      <x:c r="F34" s="167" t="str">
        <x:v>10-Q</x:v>
      </x:c>
      <x:c r="G34" s="168" t="d">
        <x:v>2026-09-11T00:00:00.000Z</x:v>
      </x:c>
      <x:c r="H34" s="167" t="str">
        <x:v>0001193125-26-389274</x:v>
      </x:c>
      <x:c r="I34" s="167" t="str">
        <x:v>us-gaap:FinanceLeaseLiabilityPaymentsDueYearFour</x:v>
      </x:c>
      <x:c r="J34" s="167" t="str">
        <x:v>C_6aa4717d-0551-43f7-9cf4-c8a0049a656e</x:v>
      </x:c>
      <x:c r="K34" s="167" t="n">
        <x:v>6</x:v>
      </x:c>
      <x:c r="L34" s="167" t="str">
        <x:v>-6</x:v>
      </x:c>
      <x:c r="M34" s="167" t="str">
        <x:v>https://www.sec.gov/Archives/edgar/data/1341439/000119312526389274/orcl-20260831.htm</x:v>
      </x:c>
      <x:c r="N34" s="167" t="str">
        <x:v>10-Q Note 6, pp. 12–13</x:v>
      </x:c>
      <x:c r="O34" s="167"/>
      <x:c r="P34" s="167"/>
      <x:c r="Q34" s="167"/>
      <x:c r="R34" s="169"/>
    </x:row>
    <x:row r="35" ht="45" customHeight="1">
      <x:c r="A35" s="89" t="str">
        <x:v>finance_5</x:v>
      </x:c>
      <x:c r="B35" s="166" t="n">
        <x:v>996000000</x:v>
      </x:c>
      <x:c r="C35" s="167" t="str">
        <x:v>Finance payments: FY2032</x:v>
      </x:c>
      <x:c r="D35" s="168"/>
      <x:c r="E35" s="168" t="d">
        <x:v>2026-08-31T00:00:00.000Z</x:v>
      </x:c>
      <x:c r="F35" s="167" t="str">
        <x:v>10-Q</x:v>
      </x:c>
      <x:c r="G35" s="168" t="d">
        <x:v>2026-09-11T00:00:00.000Z</x:v>
      </x:c>
      <x:c r="H35" s="167" t="str">
        <x:v>0001193125-26-389274</x:v>
      </x:c>
      <x:c r="I35" s="167" t="str">
        <x:v>us-gaap:FinanceLeaseLiabilityPaymentsDueYearFive</x:v>
      </x:c>
      <x:c r="J35" s="167" t="str">
        <x:v>C_6aa4717d-0551-43f7-9cf4-c8a0049a656e</x:v>
      </x:c>
      <x:c r="K35" s="167" t="n">
        <x:v>6</x:v>
      </x:c>
      <x:c r="L35" s="167" t="str">
        <x:v>-6</x:v>
      </x:c>
      <x:c r="M35" s="167" t="str">
        <x:v>https://www.sec.gov/Archives/edgar/data/1341439/000119312526389274/orcl-20260831.htm</x:v>
      </x:c>
      <x:c r="N35" s="167" t="str">
        <x:v>10-Q Note 6, pp. 12–13</x:v>
      </x:c>
      <x:c r="O35" s="167"/>
      <x:c r="P35" s="167"/>
      <x:c r="Q35" s="167"/>
      <x:c r="R35" s="169"/>
    </x:row>
    <x:row r="36" ht="45" customHeight="1">
      <x:c r="A36" s="89" t="str">
        <x:v>finance_6</x:v>
      </x:c>
      <x:c r="B36" s="166" t="n">
        <x:v>9886000000</x:v>
      </x:c>
      <x:c r="C36" s="167" t="str">
        <x:v>Finance payments: Thereafter</x:v>
      </x:c>
      <x:c r="D36" s="168"/>
      <x:c r="E36" s="168" t="d">
        <x:v>2026-08-31T00:00:00.000Z</x:v>
      </x:c>
      <x:c r="F36" s="167" t="str">
        <x:v>10-Q</x:v>
      </x:c>
      <x:c r="G36" s="168" t="d">
        <x:v>2026-09-11T00:00:00.000Z</x:v>
      </x:c>
      <x:c r="H36" s="167" t="str">
        <x:v>0001193125-26-389274</x:v>
      </x:c>
      <x:c r="I36" s="167" t="str">
        <x:v>us-gaap:FinanceLeaseLiabilityPaymentsDueAfterYearFive</x:v>
      </x:c>
      <x:c r="J36" s="167" t="str">
        <x:v>C_6aa4717d-0551-43f7-9cf4-c8a0049a656e</x:v>
      </x:c>
      <x:c r="K36" s="167" t="n">
        <x:v>6</x:v>
      </x:c>
      <x:c r="L36" s="167" t="str">
        <x:v>-6</x:v>
      </x:c>
      <x:c r="M36" s="167" t="str">
        <x:v>https://www.sec.gov/Archives/edgar/data/1341439/000119312526389274/orcl-20260831.htm</x:v>
      </x:c>
      <x:c r="N36" s="167" t="str">
        <x:v>10-Q Note 6, pp. 12–13</x:v>
      </x:c>
      <x:c r="O36" s="167"/>
      <x:c r="P36" s="167"/>
      <x:c r="Q36" s="167"/>
      <x:c r="R36" s="169"/>
    </x:row>
    <x:row r="37" ht="45" customHeight="1">
      <x:c r="A37" s="89" t="str">
        <x:v>purchase_0</x:v>
      </x:c>
      <x:c r="B37" s="166" t="n">
        <x:v>5449000000</x:v>
      </x:c>
      <x:c r="C37" s="167" t="str">
        <x:v>Purchase payments: Remainder FY2027</x:v>
      </x:c>
      <x:c r="D37" s="168"/>
      <x:c r="E37" s="168" t="d">
        <x:v>2026-08-31T00:00:00.000Z</x:v>
      </x:c>
      <x:c r="F37" s="167" t="str">
        <x:v>10-Q</x:v>
      </x:c>
      <x:c r="G37" s="168" t="d">
        <x:v>2026-09-11T00:00:00.000Z</x:v>
      </x:c>
      <x:c r="H37" s="167" t="str">
        <x:v>0001193125-26-389274</x:v>
      </x:c>
      <x:c r="I37" s="167" t="str">
        <x:v>us-gaap:UnrecordedUnconditionalPurchaseObligationDueInRemainderOfFiscalYear</x:v>
      </x:c>
      <x:c r="J37" s="167" t="str">
        <x:v>C_6aa4717d-0551-43f7-9cf4-c8a0049a656e</x:v>
      </x:c>
      <x:c r="K37" s="167" t="n">
        <x:v>6</x:v>
      </x:c>
      <x:c r="L37" s="167" t="str">
        <x:v>-6</x:v>
      </x:c>
      <x:c r="M37" s="167" t="str">
        <x:v>https://www.sec.gov/Archives/edgar/data/1341439/000119312526389274/orcl-20260831.htm</x:v>
      </x:c>
      <x:c r="N37" s="167" t="str">
        <x:v>10-Q Note 6, pp. 12–13</x:v>
      </x:c>
      <x:c r="O37" s="167"/>
      <x:c r="P37" s="167"/>
      <x:c r="Q37" s="167"/>
      <x:c r="R37" s="169"/>
    </x:row>
    <x:row r="38" ht="45" customHeight="1">
      <x:c r="A38" s="89" t="str">
        <x:v>purchase_1</x:v>
      </x:c>
      <x:c r="B38" s="166" t="n">
        <x:v>6176000000</x:v>
      </x:c>
      <x:c r="C38" s="167" t="str">
        <x:v>Purchase payments: FY2028</x:v>
      </x:c>
      <x:c r="D38" s="168"/>
      <x:c r="E38" s="168" t="d">
        <x:v>2026-08-31T00:00:00.000Z</x:v>
      </x:c>
      <x:c r="F38" s="167" t="str">
        <x:v>10-Q</x:v>
      </x:c>
      <x:c r="G38" s="168" t="d">
        <x:v>2026-09-11T00:00:00.000Z</x:v>
      </x:c>
      <x:c r="H38" s="167" t="str">
        <x:v>0001193125-26-389274</x:v>
      </x:c>
      <x:c r="I38" s="167" t="str">
        <x:v>us-gaap:UnrecordedUnconditionalPurchaseObligationBalanceOnFirstAnniversary</x:v>
      </x:c>
      <x:c r="J38" s="167" t="str">
        <x:v>C_6aa4717d-0551-43f7-9cf4-c8a0049a656e</x:v>
      </x:c>
      <x:c r="K38" s="167" t="n">
        <x:v>6</x:v>
      </x:c>
      <x:c r="L38" s="167" t="str">
        <x:v>-6</x:v>
      </x:c>
      <x:c r="M38" s="167" t="str">
        <x:v>https://www.sec.gov/Archives/edgar/data/1341439/000119312526389274/orcl-20260831.htm</x:v>
      </x:c>
      <x:c r="N38" s="167" t="str">
        <x:v>10-Q Note 6, pp. 12–13</x:v>
      </x:c>
      <x:c r="O38" s="167"/>
      <x:c r="P38" s="167"/>
      <x:c r="Q38" s="167"/>
      <x:c r="R38" s="169"/>
    </x:row>
    <x:row r="39" ht="45" customHeight="1">
      <x:c r="A39" s="89" t="str">
        <x:v>purchase_2</x:v>
      </x:c>
      <x:c r="B39" s="166" t="n">
        <x:v>3863000000</x:v>
      </x:c>
      <x:c r="C39" s="167" t="str">
        <x:v>Purchase payments: FY2029</x:v>
      </x:c>
      <x:c r="D39" s="168"/>
      <x:c r="E39" s="168" t="d">
        <x:v>2026-08-31T00:00:00.000Z</x:v>
      </x:c>
      <x:c r="F39" s="167" t="str">
        <x:v>10-Q</x:v>
      </x:c>
      <x:c r="G39" s="168" t="d">
        <x:v>2026-09-11T00:00:00.000Z</x:v>
      </x:c>
      <x:c r="H39" s="167" t="str">
        <x:v>0001193125-26-389274</x:v>
      </x:c>
      <x:c r="I39" s="167" t="str">
        <x:v>us-gaap:UnrecordedUnconditionalPurchaseObligationBalanceOnSecondAnniversary</x:v>
      </x:c>
      <x:c r="J39" s="167" t="str">
        <x:v>C_6aa4717d-0551-43f7-9cf4-c8a0049a656e</x:v>
      </x:c>
      <x:c r="K39" s="167" t="n">
        <x:v>6</x:v>
      </x:c>
      <x:c r="L39" s="167" t="str">
        <x:v>-6</x:v>
      </x:c>
      <x:c r="M39" s="167" t="str">
        <x:v>https://www.sec.gov/Archives/edgar/data/1341439/000119312526389274/orcl-20260831.htm</x:v>
      </x:c>
      <x:c r="N39" s="167" t="str">
        <x:v>10-Q Note 6, pp. 12–13</x:v>
      </x:c>
      <x:c r="O39" s="167"/>
      <x:c r="P39" s="167"/>
      <x:c r="Q39" s="167"/>
      <x:c r="R39" s="169"/>
    </x:row>
    <x:row r="40" ht="45" customHeight="1">
      <x:c r="A40" s="89" t="str">
        <x:v>purchase_3</x:v>
      </x:c>
      <x:c r="B40" s="166" t="n">
        <x:v>4318000000</x:v>
      </x:c>
      <x:c r="C40" s="167" t="str">
        <x:v>Purchase payments: FY2030</x:v>
      </x:c>
      <x:c r="D40" s="168"/>
      <x:c r="E40" s="168" t="d">
        <x:v>2026-08-31T00:00:00.000Z</x:v>
      </x:c>
      <x:c r="F40" s="167" t="str">
        <x:v>10-Q</x:v>
      </x:c>
      <x:c r="G40" s="168" t="d">
        <x:v>2026-09-11T00:00:00.000Z</x:v>
      </x:c>
      <x:c r="H40" s="167" t="str">
        <x:v>0001193125-26-389274</x:v>
      </x:c>
      <x:c r="I40" s="167" t="str">
        <x:v>us-gaap:UnrecordedUnconditionalPurchaseObligationBalanceOnThirdAnniversary</x:v>
      </x:c>
      <x:c r="J40" s="167" t="str">
        <x:v>C_6aa4717d-0551-43f7-9cf4-c8a0049a656e</x:v>
      </x:c>
      <x:c r="K40" s="167" t="n">
        <x:v>6</x:v>
      </x:c>
      <x:c r="L40" s="167" t="str">
        <x:v>-6</x:v>
      </x:c>
      <x:c r="M40" s="167" t="str">
        <x:v>https://www.sec.gov/Archives/edgar/data/1341439/000119312526389274/orcl-20260831.htm</x:v>
      </x:c>
      <x:c r="N40" s="167" t="str">
        <x:v>10-Q Note 6, pp. 12–13</x:v>
      </x:c>
      <x:c r="O40" s="167"/>
      <x:c r="P40" s="167"/>
      <x:c r="Q40" s="167"/>
      <x:c r="R40" s="169"/>
    </x:row>
    <x:row r="41" ht="45" customHeight="1">
      <x:c r="A41" s="89" t="str">
        <x:v>purchase_4</x:v>
      </x:c>
      <x:c r="B41" s="166" t="n">
        <x:v>6768000000</x:v>
      </x:c>
      <x:c r="C41" s="167" t="str">
        <x:v>Purchase payments: FY2031</x:v>
      </x:c>
      <x:c r="D41" s="168"/>
      <x:c r="E41" s="168" t="d">
        <x:v>2026-08-31T00:00:00.000Z</x:v>
      </x:c>
      <x:c r="F41" s="167" t="str">
        <x:v>10-Q</x:v>
      </x:c>
      <x:c r="G41" s="168" t="d">
        <x:v>2026-09-11T00:00:00.000Z</x:v>
      </x:c>
      <x:c r="H41" s="167" t="str">
        <x:v>0001193125-26-389274</x:v>
      </x:c>
      <x:c r="I41" s="167" t="str">
        <x:v>us-gaap:UnrecordedUnconditionalPurchaseObligationBalanceOnFourthAnniversary</x:v>
      </x:c>
      <x:c r="J41" s="167" t="str">
        <x:v>C_6aa4717d-0551-43f7-9cf4-c8a0049a656e</x:v>
      </x:c>
      <x:c r="K41" s="167" t="n">
        <x:v>6</x:v>
      </x:c>
      <x:c r="L41" s="167" t="str">
        <x:v>-6</x:v>
      </x:c>
      <x:c r="M41" s="167" t="str">
        <x:v>https://www.sec.gov/Archives/edgar/data/1341439/000119312526389274/orcl-20260831.htm</x:v>
      </x:c>
      <x:c r="N41" s="167" t="str">
        <x:v>10-Q Note 6, pp. 12–13</x:v>
      </x:c>
      <x:c r="O41" s="167"/>
      <x:c r="P41" s="167"/>
      <x:c r="Q41" s="167"/>
      <x:c r="R41" s="169"/>
    </x:row>
    <x:row r="42" ht="45" customHeight="1">
      <x:c r="A42" s="89" t="str">
        <x:v>purchase_5</x:v>
      </x:c>
      <x:c r="B42" s="166" t="n">
        <x:v>954000000</x:v>
      </x:c>
      <x:c r="C42" s="167" t="str">
        <x:v>Purchase payments: FY2032</x:v>
      </x:c>
      <x:c r="D42" s="168"/>
      <x:c r="E42" s="168" t="d">
        <x:v>2026-08-31T00:00:00.000Z</x:v>
      </x:c>
      <x:c r="F42" s="167" t="str">
        <x:v>10-Q</x:v>
      </x:c>
      <x:c r="G42" s="168" t="d">
        <x:v>2026-09-11T00:00:00.000Z</x:v>
      </x:c>
      <x:c r="H42" s="167" t="str">
        <x:v>0001193125-26-389274</x:v>
      </x:c>
      <x:c r="I42" s="167" t="str">
        <x:v>us-gaap:UnrecordedUnconditionalPurchaseObligationBalanceOnFifthAnniversary</x:v>
      </x:c>
      <x:c r="J42" s="167" t="str">
        <x:v>C_6aa4717d-0551-43f7-9cf4-c8a0049a656e</x:v>
      </x:c>
      <x:c r="K42" s="167" t="n">
        <x:v>6</x:v>
      </x:c>
      <x:c r="L42" s="167" t="str">
        <x:v>-6</x:v>
      </x:c>
      <x:c r="M42" s="167" t="str">
        <x:v>https://www.sec.gov/Archives/edgar/data/1341439/000119312526389274/orcl-20260831.htm</x:v>
      </x:c>
      <x:c r="N42" s="167" t="str">
        <x:v>10-Q Note 6, pp. 12–13</x:v>
      </x:c>
      <x:c r="O42" s="167"/>
      <x:c r="P42" s="167"/>
      <x:c r="Q42" s="167"/>
      <x:c r="R42" s="169"/>
    </x:row>
    <x:row r="43" ht="45" customHeight="1">
      <x:c r="A43" s="89" t="str">
        <x:v>purchase_6</x:v>
      </x:c>
      <x:c r="B43" s="166" t="n">
        <x:v>6622000000</x:v>
      </x:c>
      <x:c r="C43" s="167" t="str">
        <x:v>Purchase payments: Thereafter</x:v>
      </x:c>
      <x:c r="D43" s="168"/>
      <x:c r="E43" s="168" t="d">
        <x:v>2026-08-31T00:00:00.000Z</x:v>
      </x:c>
      <x:c r="F43" s="167" t="str">
        <x:v>10-Q</x:v>
      </x:c>
      <x:c r="G43" s="168" t="d">
        <x:v>2026-09-11T00:00:00.000Z</x:v>
      </x:c>
      <x:c r="H43" s="167" t="str">
        <x:v>0001193125-26-389274</x:v>
      </x:c>
      <x:c r="I43" s="167" t="str">
        <x:v>us-gaap:UnrecordedUnconditionalPurchaseObligationDueAfterFiveYears</x:v>
      </x:c>
      <x:c r="J43" s="167" t="str">
        <x:v>C_6aa4717d-0551-43f7-9cf4-c8a0049a656e</x:v>
      </x:c>
      <x:c r="K43" s="167" t="n">
        <x:v>6</x:v>
      </x:c>
      <x:c r="L43" s="167" t="str">
        <x:v>-6</x:v>
      </x:c>
      <x:c r="M43" s="167" t="str">
        <x:v>https://www.sec.gov/Archives/edgar/data/1341439/000119312526389274/orcl-20260831.htm</x:v>
      </x:c>
      <x:c r="N43" s="167" t="str">
        <x:v>10-Q Note 6, pp. 12–13</x:v>
      </x:c>
      <x:c r="O43" s="167"/>
      <x:c r="P43" s="167"/>
      <x:c r="Q43" s="167"/>
      <x:c r="R43" s="169"/>
    </x:row>
    <x:row r="44" ht="45" customHeight="1">
      <x:c r="A44" s="89" t="str">
        <x:v>operating_total</x:v>
      </x:c>
      <x:c r="B44" s="166" t="n">
        <x:v>48050000000</x:v>
      </x:c>
      <x:c r="C44" s="167" t="str">
        <x:v>Operating total</x:v>
      </x:c>
      <x:c r="D44" s="168"/>
      <x:c r="E44" s="168" t="d">
        <x:v>2026-08-31T00:00:00.000Z</x:v>
      </x:c>
      <x:c r="F44" s="167" t="str">
        <x:v>10-Q</x:v>
      </x:c>
      <x:c r="G44" s="168" t="d">
        <x:v>2026-09-11T00:00:00.000Z</x:v>
      </x:c>
      <x:c r="H44" s="167" t="str">
        <x:v>0001193125-26-389274</x:v>
      </x:c>
      <x:c r="I44" s="167" t="str">
        <x:v>us-gaap:LesseeOperatingLeaseLiabilityPaymentsDue</x:v>
      </x:c>
      <x:c r="J44" s="167" t="str">
        <x:v>C_6aa4717d-0551-43f7-9cf4-c8a0049a656e</x:v>
      </x:c>
      <x:c r="K44" s="167" t="n">
        <x:v>6</x:v>
      </x:c>
      <x:c r="L44" s="167" t="str">
        <x:v>-6</x:v>
      </x:c>
      <x:c r="M44" s="167" t="str">
        <x:v>https://www.sec.gov/Archives/edgar/data/1341439/000119312526389274/orcl-20260831.htm</x:v>
      </x:c>
      <x:c r="N44" s="167" t="str">
        <x:v>10-Q Note 6, pp. 12–13</x:v>
      </x:c>
      <x:c r="O44" s="167"/>
      <x:c r="P44" s="167"/>
      <x:c r="Q44" s="167"/>
      <x:c r="R44" s="169"/>
    </x:row>
    <x:row r="45" ht="45" customHeight="1">
      <x:c r="A45" s="89" t="str">
        <x:v>operating_interest</x:v>
      </x:c>
      <x:c r="B45" s="166" t="n">
        <x:v>13429000000</x:v>
      </x:c>
      <x:c r="C45" s="167" t="str">
        <x:v>Operating interest</x:v>
      </x:c>
      <x:c r="D45" s="168"/>
      <x:c r="E45" s="168" t="d">
        <x:v>2026-08-31T00:00:00.000Z</x:v>
      </x:c>
      <x:c r="F45" s="167" t="str">
        <x:v>10-Q</x:v>
      </x:c>
      <x:c r="G45" s="168" t="d">
        <x:v>2026-09-11T00:00:00.000Z</x:v>
      </x:c>
      <x:c r="H45" s="167" t="str">
        <x:v>0001193125-26-389274</x:v>
      </x:c>
      <x:c r="I45" s="167" t="str">
        <x:v>us-gaap:LesseeOperatingLeaseLiabilityUndiscountedExcessAmount</x:v>
      </x:c>
      <x:c r="J45" s="167" t="str">
        <x:v>C_6aa4717d-0551-43f7-9cf4-c8a0049a656e</x:v>
      </x:c>
      <x:c r="K45" s="167" t="n">
        <x:v>6</x:v>
      </x:c>
      <x:c r="L45" s="167" t="str">
        <x:v>-6</x:v>
      </x:c>
      <x:c r="M45" s="167" t="str">
        <x:v>https://www.sec.gov/Archives/edgar/data/1341439/000119312526389274/orcl-20260831.htm</x:v>
      </x:c>
      <x:c r="N45" s="167" t="str">
        <x:v>10-Q Note 6, pp. 12–13</x:v>
      </x:c>
      <x:c r="O45" s="167"/>
      <x:c r="P45" s="167"/>
      <x:c r="Q45" s="167"/>
      <x:c r="R45" s="169"/>
    </x:row>
    <x:row r="46" ht="45" customHeight="1">
      <x:c r="A46" s="89" t="str">
        <x:v>operating_liability</x:v>
      </x:c>
      <x:c r="B46" s="166" t="n">
        <x:v>34621000000</x:v>
      </x:c>
      <x:c r="C46" s="167" t="str">
        <x:v>Operating liability</x:v>
      </x:c>
      <x:c r="D46" s="168"/>
      <x:c r="E46" s="168" t="d">
        <x:v>2026-08-31T00:00:00.000Z</x:v>
      </x:c>
      <x:c r="F46" s="167" t="str">
        <x:v>10-Q</x:v>
      </x:c>
      <x:c r="G46" s="168" t="d">
        <x:v>2026-09-11T00:00:00.000Z</x:v>
      </x:c>
      <x:c r="H46" s="167" t="str">
        <x:v>0001193125-26-389274</x:v>
      </x:c>
      <x:c r="I46" s="167" t="str">
        <x:v>us-gaap:OperatingLeaseLiability</x:v>
      </x:c>
      <x:c r="J46" s="167" t="str">
        <x:v>C_6aa4717d-0551-43f7-9cf4-c8a0049a656e</x:v>
      </x:c>
      <x:c r="K46" s="167" t="n">
        <x:v>6</x:v>
      </x:c>
      <x:c r="L46" s="167" t="str">
        <x:v>-6</x:v>
      </x:c>
      <x:c r="M46" s="167" t="str">
        <x:v>https://www.sec.gov/Archives/edgar/data/1341439/000119312526389274/orcl-20260831.htm</x:v>
      </x:c>
      <x:c r="N46" s="167" t="str">
        <x:v>10-Q Note 6, pp. 12–13</x:v>
      </x:c>
      <x:c r="O46" s="167"/>
      <x:c r="P46" s="167"/>
      <x:c r="Q46" s="167"/>
      <x:c r="R46" s="169"/>
    </x:row>
    <x:row r="47" ht="45" customHeight="1">
      <x:c r="A47" s="89" t="str">
        <x:v>finance_total</x:v>
      </x:c>
      <x:c r="B47" s="166" t="n">
        <x:v>15195000000</x:v>
      </x:c>
      <x:c r="C47" s="167" t="str">
        <x:v>Finance total</x:v>
      </x:c>
      <x:c r="D47" s="168"/>
      <x:c r="E47" s="168" t="d">
        <x:v>2026-08-31T00:00:00.000Z</x:v>
      </x:c>
      <x:c r="F47" s="167" t="str">
        <x:v>10-Q</x:v>
      </x:c>
      <x:c r="G47" s="168" t="d">
        <x:v>2026-09-11T00:00:00.000Z</x:v>
      </x:c>
      <x:c r="H47" s="167" t="str">
        <x:v>0001193125-26-389274</x:v>
      </x:c>
      <x:c r="I47" s="167" t="str">
        <x:v>us-gaap:FinanceLeaseLiabilityPaymentsDue</x:v>
      </x:c>
      <x:c r="J47" s="167" t="str">
        <x:v>C_6aa4717d-0551-43f7-9cf4-c8a0049a656e</x:v>
      </x:c>
      <x:c r="K47" s="167" t="n">
        <x:v>6</x:v>
      </x:c>
      <x:c r="L47" s="167" t="str">
        <x:v>-6</x:v>
      </x:c>
      <x:c r="M47" s="167" t="str">
        <x:v>https://www.sec.gov/Archives/edgar/data/1341439/000119312526389274/orcl-20260831.htm</x:v>
      </x:c>
      <x:c r="N47" s="167" t="str">
        <x:v>10-Q Note 6, pp. 12–13</x:v>
      </x:c>
      <x:c r="O47" s="167"/>
      <x:c r="P47" s="167"/>
      <x:c r="Q47" s="167"/>
      <x:c r="R47" s="169"/>
    </x:row>
    <x:row r="48" ht="45" customHeight="1">
      <x:c r="A48" s="89" t="str">
        <x:v>finance_interest</x:v>
      </x:c>
      <x:c r="B48" s="166" t="n">
        <x:v>6010000000</x:v>
      </x:c>
      <x:c r="C48" s="167" t="str">
        <x:v>Finance interest</x:v>
      </x:c>
      <x:c r="D48" s="168"/>
      <x:c r="E48" s="168" t="d">
        <x:v>2026-08-31T00:00:00.000Z</x:v>
      </x:c>
      <x:c r="F48" s="167" t="str">
        <x:v>10-Q</x:v>
      </x:c>
      <x:c r="G48" s="168" t="d">
        <x:v>2026-09-11T00:00:00.000Z</x:v>
      </x:c>
      <x:c r="H48" s="167" t="str">
        <x:v>0001193125-26-389274</x:v>
      </x:c>
      <x:c r="I48" s="167" t="str">
        <x:v>us-gaap:FinanceLeaseLiabilityUndiscountedExcessAmount</x:v>
      </x:c>
      <x:c r="J48" s="167" t="str">
        <x:v>C_6aa4717d-0551-43f7-9cf4-c8a0049a656e</x:v>
      </x:c>
      <x:c r="K48" s="167" t="n">
        <x:v>6</x:v>
      </x:c>
      <x:c r="L48" s="167" t="str">
        <x:v>-6</x:v>
      </x:c>
      <x:c r="M48" s="167" t="str">
        <x:v>https://www.sec.gov/Archives/edgar/data/1341439/000119312526389274/orcl-20260831.htm</x:v>
      </x:c>
      <x:c r="N48" s="167" t="str">
        <x:v>10-Q Note 6, pp. 12–13</x:v>
      </x:c>
      <x:c r="O48" s="167"/>
      <x:c r="P48" s="167"/>
      <x:c r="Q48" s="167"/>
      <x:c r="R48" s="169"/>
    </x:row>
    <x:row r="49" ht="45" customHeight="1">
      <x:c r="A49" s="89" t="str">
        <x:v>finance_liability</x:v>
      </x:c>
      <x:c r="B49" s="166" t="n">
        <x:v>9185000000</x:v>
      </x:c>
      <x:c r="C49" s="167" t="str">
        <x:v>Finance liability</x:v>
      </x:c>
      <x:c r="D49" s="168"/>
      <x:c r="E49" s="168" t="d">
        <x:v>2026-08-31T00:00:00.000Z</x:v>
      </x:c>
      <x:c r="F49" s="167" t="str">
        <x:v>10-Q</x:v>
      </x:c>
      <x:c r="G49" s="168" t="d">
        <x:v>2026-09-11T00:00:00.000Z</x:v>
      </x:c>
      <x:c r="H49" s="167" t="str">
        <x:v>0001193125-26-389274</x:v>
      </x:c>
      <x:c r="I49" s="167" t="str">
        <x:v>us-gaap:FinanceLeaseLiability</x:v>
      </x:c>
      <x:c r="J49" s="167" t="str">
        <x:v>C_6aa4717d-0551-43f7-9cf4-c8a0049a656e</x:v>
      </x:c>
      <x:c r="K49" s="167" t="n">
        <x:v>6</x:v>
      </x:c>
      <x:c r="L49" s="167" t="str">
        <x:v>-6</x:v>
      </x:c>
      <x:c r="M49" s="167" t="str">
        <x:v>https://www.sec.gov/Archives/edgar/data/1341439/000119312526389274/orcl-20260831.htm</x:v>
      </x:c>
      <x:c r="N49" s="167" t="str">
        <x:v>10-Q Note 6, pp. 12–13</x:v>
      </x:c>
      <x:c r="O49" s="167"/>
      <x:c r="P49" s="167"/>
      <x:c r="Q49" s="167"/>
      <x:c r="R49" s="169"/>
    </x:row>
    <x:row r="50" ht="45" customHeight="1">
      <x:c r="A50" s="89" t="str">
        <x:v>purchase_total</x:v>
      </x:c>
      <x:c r="B50" s="166" t="n">
        <x:v>34150000000</x:v>
      </x:c>
      <x:c r="C50" s="167" t="str">
        <x:v>Purchase total</x:v>
      </x:c>
      <x:c r="D50" s="168"/>
      <x:c r="E50" s="168" t="d">
        <x:v>2026-08-31T00:00:00.000Z</x:v>
      </x:c>
      <x:c r="F50" s="167" t="str">
        <x:v>10-Q</x:v>
      </x:c>
      <x:c r="G50" s="168" t="d">
        <x:v>2026-09-11T00:00:00.000Z</x:v>
      </x:c>
      <x:c r="H50" s="167" t="str">
        <x:v>0001193125-26-389274</x:v>
      </x:c>
      <x:c r="I50" s="167" t="str">
        <x:v>us-gaap:UnrecordedUnconditionalPurchaseObligationBalanceSheetAmount</x:v>
      </x:c>
      <x:c r="J50" s="167" t="str">
        <x:v>C_6aa4717d-0551-43f7-9cf4-c8a0049a656e</x:v>
      </x:c>
      <x:c r="K50" s="167" t="n">
        <x:v>6</x:v>
      </x:c>
      <x:c r="L50" s="167" t="str">
        <x:v>-6</x:v>
      </x:c>
      <x:c r="M50" s="167" t="str">
        <x:v>https://www.sec.gov/Archives/edgar/data/1341439/000119312526389274/orcl-20260831.htm</x:v>
      </x:c>
      <x:c r="N50" s="167" t="str">
        <x:v>10-Q Note 6, pp. 12–13</x:v>
      </x:c>
      <x:c r="O50" s="167"/>
      <x:c r="P50" s="167"/>
      <x:c r="Q50" s="167"/>
      <x:c r="R50" s="169"/>
    </x:row>
    <x:row r="51" ht="45" customHeight="1">
      <x:c r="A51" s="89" t="str">
        <x:v>annual_0</x:v>
      </x:c>
      <x:c r="B51" s="166" t="n">
        <x:v>7210000000</x:v>
      </x:c>
      <x:c r="C51" s="167" t="str">
        <x:v>Historical May principal: Fiscal 2027</x:v>
      </x:c>
      <x:c r="D51" s="168"/>
      <x:c r="E51" s="168" t="d">
        <x:v>2026-05-31T00:00:00.000Z</x:v>
      </x:c>
      <x:c r="F51" s="167" t="str">
        <x:v>10-K</x:v>
      </x:c>
      <x:c r="G51" s="168" t="d">
        <x:v>2026-06-22T00:00:00.000Z</x:v>
      </x:c>
      <x:c r="H51" s="167" t="str">
        <x:v>0001193125-26-277521</x:v>
      </x:c>
      <x:c r="I51" s="167" t="str">
        <x:v>us-gaap:LongTermDebtMaturitiesRepaymentsOfPrincipalInNextTwelveMonths</x:v>
      </x:c>
      <x:c r="J51" s="167" t="str">
        <x:v>C_f62bade6-47e1-4441-9bb3-1e534300c2f2</x:v>
      </x:c>
      <x:c r="K51" s="167" t="n">
        <x:v>6</x:v>
      </x:c>
      <x:c r="L51" s="167" t="str">
        <x:v>-6</x:v>
      </x:c>
      <x:c r="M51" s="167" t="str">
        <x:v>https://www.sec.gov/Archives/edgar/data/1341439/000119312526277521/orcl-20260531.htm</x:v>
      </x:c>
      <x:c r="N51" s="167" t="str">
        <x:v>10-K Note 6, pp. 83–85</x:v>
      </x:c>
      <x:c r="O51" s="167" t="str">
        <x:v>Historical principal. Not rolled forward to August; excludes interest and leases.</x:v>
      </x:c>
      <x:c r="P51" s="167"/>
      <x:c r="Q51" s="167"/>
      <x:c r="R51" s="169"/>
    </x:row>
    <x:row r="52" ht="45" customHeight="1">
      <x:c r="A52" s="89" t="str">
        <x:v>annual_1</x:v>
      </x:c>
      <x:c r="B52" s="166" t="n">
        <x:v>10145000000</x:v>
      </x:c>
      <x:c r="C52" s="167" t="str">
        <x:v>Historical May principal: Fiscal 2028</x:v>
      </x:c>
      <x:c r="D52" s="168"/>
      <x:c r="E52" s="168" t="d">
        <x:v>2026-05-31T00:00:00.000Z</x:v>
      </x:c>
      <x:c r="F52" s="167" t="str">
        <x:v>10-K</x:v>
      </x:c>
      <x:c r="G52" s="168" t="d">
        <x:v>2026-06-22T00:00:00.000Z</x:v>
      </x:c>
      <x:c r="H52" s="167" t="str">
        <x:v>0001193125-26-277521</x:v>
      </x:c>
      <x:c r="I52" s="167" t="str">
        <x:v>us-gaap:LongTermDebtMaturitiesRepaymentsOfPrincipalInYearTwo</x:v>
      </x:c>
      <x:c r="J52" s="167" t="str">
        <x:v>C_f62bade6-47e1-4441-9bb3-1e534300c2f2</x:v>
      </x:c>
      <x:c r="K52" s="167" t="n">
        <x:v>6</x:v>
      </x:c>
      <x:c r="L52" s="167" t="str">
        <x:v>-6</x:v>
      </x:c>
      <x:c r="M52" s="167" t="str">
        <x:v>https://www.sec.gov/Archives/edgar/data/1341439/000119312526277521/orcl-20260531.htm</x:v>
      </x:c>
      <x:c r="N52" s="167" t="str">
        <x:v>10-K Note 6, pp. 83–85</x:v>
      </x:c>
      <x:c r="O52" s="167" t="str">
        <x:v>Historical principal. Not rolled forward to August; excludes interest and leases.</x:v>
      </x:c>
      <x:c r="P52" s="167"/>
      <x:c r="Q52" s="167"/>
      <x:c r="R52" s="169"/>
    </x:row>
    <x:row r="53" ht="45" customHeight="1">
      <x:c r="A53" s="89" t="str">
        <x:v>annual_2</x:v>
      </x:c>
      <x:c r="B53" s="166" t="n">
        <x:v>5500000000</x:v>
      </x:c>
      <x:c r="C53" s="167" t="str">
        <x:v>Historical May principal: Fiscal 2029</x:v>
      </x:c>
      <x:c r="D53" s="168"/>
      <x:c r="E53" s="168" t="d">
        <x:v>2026-05-31T00:00:00.000Z</x:v>
      </x:c>
      <x:c r="F53" s="167" t="str">
        <x:v>10-K</x:v>
      </x:c>
      <x:c r="G53" s="168" t="d">
        <x:v>2026-06-22T00:00:00.000Z</x:v>
      </x:c>
      <x:c r="H53" s="167" t="str">
        <x:v>0001193125-26-277521</x:v>
      </x:c>
      <x:c r="I53" s="167" t="str">
        <x:v>us-gaap:LongTermDebtMaturitiesRepaymentsOfPrincipalInYearThree</x:v>
      </x:c>
      <x:c r="J53" s="167" t="str">
        <x:v>C_f62bade6-47e1-4441-9bb3-1e534300c2f2</x:v>
      </x:c>
      <x:c r="K53" s="167" t="n">
        <x:v>6</x:v>
      </x:c>
      <x:c r="L53" s="167" t="str">
        <x:v>-6</x:v>
      </x:c>
      <x:c r="M53" s="167" t="str">
        <x:v>https://www.sec.gov/Archives/edgar/data/1341439/000119312526277521/orcl-20260531.htm</x:v>
      </x:c>
      <x:c r="N53" s="167" t="str">
        <x:v>10-K Note 6, pp. 83–85</x:v>
      </x:c>
      <x:c r="O53" s="167" t="str">
        <x:v>Historical principal. Not rolled forward to August; excludes interest and leases.</x:v>
      </x:c>
      <x:c r="P53" s="167"/>
      <x:c r="Q53" s="167"/>
      <x:c r="R53" s="169"/>
    </x:row>
    <x:row r="54" ht="45" customHeight="1">
      <x:c r="A54" s="89" t="str">
        <x:v>annual_3</x:v>
      </x:c>
      <x:c r="B54" s="166" t="n">
        <x:v>7250000000</x:v>
      </x:c>
      <x:c r="C54" s="167" t="str">
        <x:v>Historical May principal: Fiscal 2030</x:v>
      </x:c>
      <x:c r="D54" s="168"/>
      <x:c r="E54" s="168" t="d">
        <x:v>2026-05-31T00:00:00.000Z</x:v>
      </x:c>
      <x:c r="F54" s="167" t="str">
        <x:v>10-K</x:v>
      </x:c>
      <x:c r="G54" s="168" t="d">
        <x:v>2026-06-22T00:00:00.000Z</x:v>
      </x:c>
      <x:c r="H54" s="167" t="str">
        <x:v>0001193125-26-277521</x:v>
      </x:c>
      <x:c r="I54" s="167" t="str">
        <x:v>us-gaap:LongTermDebtMaturitiesRepaymentsOfPrincipalInYearFour</x:v>
      </x:c>
      <x:c r="J54" s="167" t="str">
        <x:v>C_f62bade6-47e1-4441-9bb3-1e534300c2f2</x:v>
      </x:c>
      <x:c r="K54" s="167" t="n">
        <x:v>6</x:v>
      </x:c>
      <x:c r="L54" s="167" t="str">
        <x:v>-6</x:v>
      </x:c>
      <x:c r="M54" s="167" t="str">
        <x:v>https://www.sec.gov/Archives/edgar/data/1341439/000119312526277521/orcl-20260531.htm</x:v>
      </x:c>
      <x:c r="N54" s="167" t="str">
        <x:v>10-K Note 6, pp. 83–85</x:v>
      </x:c>
      <x:c r="O54" s="167" t="str">
        <x:v>Historical principal. Not rolled forward to August; excludes interest and leases.</x:v>
      </x:c>
      <x:c r="P54" s="167"/>
      <x:c r="Q54" s="167"/>
      <x:c r="R54" s="169"/>
    </x:row>
    <x:row r="55" ht="45" customHeight="1">
      <x:c r="A55" s="89" t="str">
        <x:v>annual_4</x:v>
      </x:c>
      <x:c r="B55" s="166" t="n">
        <x:v>9750000000</x:v>
      </x:c>
      <x:c r="C55" s="167" t="str">
        <x:v>Historical May principal: Fiscal 2031</x:v>
      </x:c>
      <x:c r="D55" s="168"/>
      <x:c r="E55" s="168" t="d">
        <x:v>2026-05-31T00:00:00.000Z</x:v>
      </x:c>
      <x:c r="F55" s="167" t="str">
        <x:v>10-K</x:v>
      </x:c>
      <x:c r="G55" s="168" t="d">
        <x:v>2026-06-22T00:00:00.000Z</x:v>
      </x:c>
      <x:c r="H55" s="167" t="str">
        <x:v>0001193125-26-277521</x:v>
      </x:c>
      <x:c r="I55" s="167" t="str">
        <x:v>us-gaap:LongTermDebtMaturitiesRepaymentsOfPrincipalInYearFive</x:v>
      </x:c>
      <x:c r="J55" s="167" t="str">
        <x:v>C_f62bade6-47e1-4441-9bb3-1e534300c2f2</x:v>
      </x:c>
      <x:c r="K55" s="167" t="n">
        <x:v>6</x:v>
      </x:c>
      <x:c r="L55" s="167" t="str">
        <x:v>-6</x:v>
      </x:c>
      <x:c r="M55" s="167" t="str">
        <x:v>https://www.sec.gov/Archives/edgar/data/1341439/000119312526277521/orcl-20260531.htm</x:v>
      </x:c>
      <x:c r="N55" s="167" t="str">
        <x:v>10-K Note 6, pp. 83–85</x:v>
      </x:c>
      <x:c r="O55" s="167" t="str">
        <x:v>Historical principal. Not rolled forward to August; excludes interest and leases.</x:v>
      </x:c>
      <x:c r="P55" s="167"/>
      <x:c r="Q55" s="167"/>
      <x:c r="R55" s="169"/>
    </x:row>
    <x:row r="56" ht="45" customHeight="1">
      <x:c r="A56" s="89" t="str">
        <x:v>annual_5</x:v>
      </x:c>
      <x:c r="B56" s="166" t="n">
        <x:v>90250000000</x:v>
      </x:c>
      <x:c r="C56" s="167" t="str">
        <x:v>Historical May principal: Thereafter</x:v>
      </x:c>
      <x:c r="D56" s="168"/>
      <x:c r="E56" s="168" t="d">
        <x:v>2026-05-31T00:00:00.000Z</x:v>
      </x:c>
      <x:c r="F56" s="167" t="str">
        <x:v>10-K</x:v>
      </x:c>
      <x:c r="G56" s="168" t="d">
        <x:v>2026-06-22T00:00:00.000Z</x:v>
      </x:c>
      <x:c r="H56" s="167" t="str">
        <x:v>0001193125-26-277521</x:v>
      </x:c>
      <x:c r="I56" s="167" t="str">
        <x:v>us-gaap:LongTermDebtMaturitiesRepaymentsOfPrincipalAfterYearFive</x:v>
      </x:c>
      <x:c r="J56" s="167" t="str">
        <x:v>C_f62bade6-47e1-4441-9bb3-1e534300c2f2</x:v>
      </x:c>
      <x:c r="K56" s="167" t="n">
        <x:v>6</x:v>
      </x:c>
      <x:c r="L56" s="167" t="str">
        <x:v>-6</x:v>
      </x:c>
      <x:c r="M56" s="167" t="str">
        <x:v>https://www.sec.gov/Archives/edgar/data/1341439/000119312526277521/orcl-20260531.htm</x:v>
      </x:c>
      <x:c r="N56" s="167" t="str">
        <x:v>10-K Note 6, pp. 83–85</x:v>
      </x:c>
      <x:c r="O56" s="167" t="str">
        <x:v>Historical principal. Not rolled forward to August; excludes interest and leases.</x:v>
      </x:c>
      <x:c r="P56" s="167"/>
      <x:c r="Q56" s="167"/>
      <x:c r="R56" s="169"/>
    </x:row>
    <x:row r="57" ht="45" customHeight="1">
      <x:c r="A57" s="89" t="str">
        <x:v>facility_commitment</x:v>
      </x:c>
      <x:c r="B57" s="166" t="n">
        <x:v>10000000000</x:v>
      </x:c>
      <x:c r="C57" s="167" t="str">
        <x:v>Original revolver commitment</x:v>
      </x:c>
      <x:c r="D57" s="168"/>
      <x:c r="E57" s="168" t="d">
        <x:v>2026-03-06T00:00:00.000Z</x:v>
      </x:c>
      <x:c r="F57" s="167" t="str">
        <x:v>10-Q Ex. 10.17</x:v>
      </x:c>
      <x:c r="G57" s="168" t="d">
        <x:v>2026-03-11T00:00:00.000Z</x:v>
      </x:c>
      <x:c r="H57" s="167" t="str">
        <x:v>0001193125-26-101045</x:v>
      </x:c>
      <x:c r="I57" s="167"/>
      <x:c r="J57" s="167"/>
      <x:c r="K57" s="167"/>
      <x:c r="L57" s="167"/>
      <x:c r="M57" s="167" t="str">
        <x:v>https://www.sec.gov/Archives/edgar/data/1341439/000119312526101045/orcl-ex10_17.htm</x:v>
      </x:c>
      <x:c r="N57" s="167" t="str">
        <x:v>Sections 1.01, 2.01, 2.06, 4.02 and 6.02(c)</x:v>
      </x:c>
      <x:c r="O57" s="167"/>
      <x:c r="P57" s="167"/>
      <x:c r="Q57" s="167"/>
      <x:c r="R57" s="169"/>
    </x:row>
    <x:row r="58" ht="45" customHeight="1">
      <x:c r="A58" s="89" t="str">
        <x:v>facility_drawn</x:v>
      </x:c>
      <x:c r="B58" s="166" t="n">
        <x:v>0</x:v>
      </x:c>
      <x:c r="C58" s="167" t="str">
        <x:v>Revolver drawn, May 31 only</x:v>
      </x:c>
      <x:c r="D58" s="168"/>
      <x:c r="E58" s="168" t="d">
        <x:v>2026-05-31T00:00:00.000Z</x:v>
      </x:c>
      <x:c r="F58" s="167" t="str">
        <x:v>10-K</x:v>
      </x:c>
      <x:c r="G58" s="168" t="d">
        <x:v>2026-06-22T00:00:00.000Z</x:v>
      </x:c>
      <x:c r="H58" s="167" t="str">
        <x:v>0001193125-26-277521</x:v>
      </x:c>
      <x:c r="I58" s="167"/>
      <x:c r="J58" s="167"/>
      <x:c r="K58" s="167"/>
      <x:c r="L58" s="167"/>
      <x:c r="M58" s="167" t="str">
        <x:v>https://www.sec.gov/Archives/edgar/data/1341439/000119312526277521/orcl-20260531.htm</x:v>
      </x:c>
      <x:c r="N58" s="167" t="str">
        <x:v>10-K Note 6, p. 85, filed June 22, 2026</x:v>
      </x:c>
      <x:c r="O58" s="167"/>
      <x:c r="P58" s="167"/>
      <x:c r="Q58" s="167"/>
      <x:c r="R58" s="169"/>
    </x:row>
    <x:row r="59" ht="45" customHeight="1">
      <x:c r="A59" s="89" t="str">
        <x:v>covenant_minimum</x:v>
      </x:c>
      <x:c r="B59" s="170" t="n">
        <x:v>3</x:v>
      </x:c>
      <x:c r="C59" s="167" t="str">
        <x:v>Contract-defined minimum interest coverage (x)</x:v>
      </x:c>
      <x:c r="D59" s="168"/>
      <x:c r="E59" s="168" t="d">
        <x:v>2026-03-06T00:00:00.000Z</x:v>
      </x:c>
      <x:c r="F59" s="167" t="str">
        <x:v>10-Q Ex. 10.17</x:v>
      </x:c>
      <x:c r="G59" s="168" t="d">
        <x:v>2026-03-11T00:00:00.000Z</x:v>
      </x:c>
      <x:c r="H59" s="167" t="str">
        <x:v>0001193125-26-101045</x:v>
      </x:c>
      <x:c r="I59" s="167"/>
      <x:c r="J59" s="167"/>
      <x:c r="K59" s="167"/>
      <x:c r="L59" s="167"/>
      <x:c r="M59" s="167" t="str">
        <x:v>https://www.sec.gov/Archives/edgar/data/1341439/000119312526101045/orcl-ex10_17.htm</x:v>
      </x:c>
      <x:c r="N59" s="167" t="str">
        <x:v>Sections 1.01, 2.01, 2.06, 4.02 and 6.02(c)</x:v>
      </x:c>
      <x:c r="O59" s="167"/>
      <x:c r="P59" s="167"/>
      <x:c r="Q59" s="167"/>
      <x:c r="R59" s="169"/>
    </x:row>
    <x:row r="60" ht="45" customHeight="1">
      <x:c r="A60" s="89" t="str">
        <x:v>facility_may_commitment</x:v>
      </x:c>
      <x:c r="B60" s="166" t="n">
        <x:v>10000000000</x:v>
      </x:c>
      <x:c r="C60" s="167" t="str">
        <x:v>Revolver commitment confirmed at May 31</x:v>
      </x:c>
      <x:c r="D60" s="168"/>
      <x:c r="E60" s="168" t="d">
        <x:v>2026-05-31T00:00:00.000Z</x:v>
      </x:c>
      <x:c r="F60" s="167" t="str">
        <x:v>10-K</x:v>
      </x:c>
      <x:c r="G60" s="168" t="d">
        <x:v>2026-06-22T00:00:00.000Z</x:v>
      </x:c>
      <x:c r="H60" s="167" t="str">
        <x:v>0001193125-26-277521</x:v>
      </x:c>
      <x:c r="I60" s="167"/>
      <x:c r="J60" s="167"/>
      <x:c r="K60" s="167"/>
      <x:c r="L60" s="167"/>
      <x:c r="M60" s="167" t="str">
        <x:v>https://www.sec.gov/Archives/edgar/data/1341439/000119312526277521/orcl-20260531.htm</x:v>
      </x:c>
      <x:c r="N60" s="167" t="str">
        <x:v>10-K Note 6, pp. 84–85</x:v>
      </x:c>
      <x:c r="O60" s="167" t="str">
        <x:v>Reported commitment. Not a drawable amount.</x:v>
      </x:c>
      <x:c r="P60" s="167"/>
      <x:c r="Q60" s="167"/>
      <x:c r="R60" s="169"/>
    </x:row>
    <x:row r="61" ht="45" customHeight="1">
      <x:c r="A61" s="89" t="str">
        <x:v>facility_increase_ceiling</x:v>
      </x:c>
      <x:c r="B61" s="166" t="n">
        <x:v>12000000000</x:v>
      </x:c>
      <x:c r="C61" s="167" t="str">
        <x:v>Conditional aggregate commitment ceiling</x:v>
      </x:c>
      <x:c r="D61" s="168"/>
      <x:c r="E61" s="168" t="d">
        <x:v>2026-03-06T00:00:00.000Z</x:v>
      </x:c>
      <x:c r="F61" s="167" t="str">
        <x:v>10-Q Ex. 10.17</x:v>
      </x:c>
      <x:c r="G61" s="168" t="d">
        <x:v>2026-03-11T00:00:00.000Z</x:v>
      </x:c>
      <x:c r="H61" s="167" t="str">
        <x:v>0001193125-26-101045</x:v>
      </x:c>
      <x:c r="I61" s="167"/>
      <x:c r="J61" s="167"/>
      <x:c r="K61" s="167"/>
      <x:c r="L61" s="167"/>
      <x:c r="M61" s="167" t="str">
        <x:v>https://www.sec.gov/Archives/edgar/data/1341439/000119312526101045/orcl-ex10_17.htm</x:v>
      </x:c>
      <x:c r="N61" s="167" t="str">
        <x:v>§2.05(d)</x:v>
      </x:c>
      <x:c r="O61" s="167" t="str">
        <x:v>Lender agreement and conditions required; no exercised increase established. Not committed capacity.</x:v>
      </x:c>
      <x:c r="P61" s="167"/>
      <x:c r="Q61" s="167"/>
      <x:c r="R61" s="169"/>
    </x:row>
    <x:row r="62" ht="60" customHeight="1">
      <x:c r="A62" s="89" t="str">
        <x:v>revolver_term_0</x:v>
      </x:c>
      <x:c r="B62" s="166"/>
      <x:c r="C62" s="167" t="str">
        <x:v>Replacement of the old facility</x:v>
      </x:c>
      <x:c r="D62" s="168"/>
      <x:c r="E62" s="168" t="d">
        <x:v>2026-05-31T00:00:00.000Z</x:v>
      </x:c>
      <x:c r="F62" s="167" t="str">
        <x:v>10-K</x:v>
      </x:c>
      <x:c r="G62" s="168" t="d">
        <x:v>2026-06-22T00:00:00.000Z</x:v>
      </x:c>
      <x:c r="H62" s="167" t="str">
        <x:v>0001193125-26-277521</x:v>
      </x:c>
      <x:c r="I62" s="167"/>
      <x:c r="J62" s="167"/>
      <x:c r="K62" s="167"/>
      <x:c r="L62" s="167"/>
      <x:c r="M62" s="167" t="str">
        <x:v>https://www.sec.gov/Archives/edgar/data/1341439/000119312526277521/orcl-20260531.htm</x:v>
      </x:c>
      <x:c r="N62" s="167" t="str">
        <x:v>10-K Note 6, p. 85</x:v>
      </x:c>
      <x:c r="O62" s="167" t="str">
        <x:v>The old $6B revolver was terminated on March 6, 2026 when the new $10B facility was entered. They are not two concurrent commitments.</x:v>
      </x:c>
      <x:c r="P62" s="167"/>
      <x:c r="Q62" s="167"/>
      <x:c r="R62" s="169"/>
    </x:row>
    <x:row r="63" ht="66" customHeight="1">
      <x:c r="A63" s="89" t="str">
        <x:v>revolver_term_1</x:v>
      </x:c>
      <x:c r="B63" s="166"/>
      <x:c r="C63" s="167" t="str">
        <x:v>Exposure and letters of credit</x:v>
      </x:c>
      <x:c r="D63" s="168"/>
      <x:c r="E63" s="168" t="d">
        <x:v>2026-03-06T00:00:00.000Z</x:v>
      </x:c>
      <x:c r="F63" s="167" t="str">
        <x:v>10-Q Ex. 10.17</x:v>
      </x:c>
      <x:c r="G63" s="168" t="d">
        <x:v>2026-03-11T00:00:00.000Z</x:v>
      </x:c>
      <x:c r="H63" s="167" t="str">
        <x:v>0001193125-26-101045</x:v>
      </x:c>
      <x:c r="I63" s="167"/>
      <x:c r="J63" s="167"/>
      <x:c r="K63" s="167"/>
      <x:c r="L63" s="167"/>
      <x:c r="M63" s="167" t="str">
        <x:v>https://www.sec.gov/Archives/edgar/data/1341439/000119312526101045/orcl-ex10_17.htm</x:v>
      </x:c>
      <x:c r="N63" s="167" t="str">
        <x:v>§1.01 Revolving Credit Exposure; §2.01</x:v>
      </x:c>
      <x:c r="O63" s="167" t="str">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P63" s="167"/>
      <x:c r="Q63" s="167"/>
      <x:c r="R63" s="169"/>
    </x:row>
    <x:row r="64" ht="78" customHeight="1">
      <x:c r="A64" s="89" t="str">
        <x:v>revolver_term_2</x:v>
      </x:c>
      <x:c r="B64" s="166"/>
      <x:c r="C64" s="167" t="str">
        <x:v>Reductions and termination</x:v>
      </x:c>
      <x:c r="D64" s="168"/>
      <x:c r="E64" s="168" t="d">
        <x:v>2026-03-06T00:00:00.000Z</x:v>
      </x:c>
      <x:c r="F64" s="167" t="str">
        <x:v>10-Q Ex. 10.17</x:v>
      </x:c>
      <x:c r="G64" s="168" t="d">
        <x:v>2026-03-11T00:00:00.000Z</x:v>
      </x:c>
      <x:c r="H64" s="167" t="str">
        <x:v>0001193125-26-101045</x:v>
      </x:c>
      <x:c r="I64" s="167"/>
      <x:c r="J64" s="167"/>
      <x:c r="K64" s="167"/>
      <x:c r="L64" s="167"/>
      <x:c r="M64" s="167" t="str">
        <x:v>https://www.sec.gov/Archives/edgar/data/1341439/000119312526101045/orcl-ex10_17.htm</x:v>
      </x:c>
      <x:c r="N64" s="167" t="str">
        <x:v>§§2.04, 7.01</x:v>
      </x:c>
      <x:c r="O64" s="167" t="str">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P64" s="167"/>
      <x:c r="Q64" s="167"/>
      <x:c r="R64" s="169"/>
    </x:row>
    <x:row r="65" ht="66" customHeight="1">
      <x:c r="A65" s="89" t="str">
        <x:v>revolver_term_3</x:v>
      </x:c>
      <x:c r="B65" s="166"/>
      <x:c r="C65" s="167" t="str">
        <x:v>Conditional increase ceiling</x:v>
      </x:c>
      <x:c r="D65" s="168"/>
      <x:c r="E65" s="168" t="d">
        <x:v>2026-03-06T00:00:00.000Z</x:v>
      </x:c>
      <x:c r="F65" s="167" t="str">
        <x:v>10-Q Ex. 10.17</x:v>
      </x:c>
      <x:c r="G65" s="168" t="d">
        <x:v>2026-03-11T00:00:00.000Z</x:v>
      </x:c>
      <x:c r="H65" s="167" t="str">
        <x:v>0001193125-26-101045</x:v>
      </x:c>
      <x:c r="I65" s="167"/>
      <x:c r="J65" s="167"/>
      <x:c r="K65" s="167"/>
      <x:c r="L65" s="167"/>
      <x:c r="M65" s="167" t="str">
        <x:v>https://www.sec.gov/Archives/edgar/data/1341439/000119312526101045/orcl-ex10_17.htm</x:v>
      </x:c>
      <x:c r="N65" s="167" t="str">
        <x:v>§2.05, especially (d)</x:v>
      </x:c>
      <x:c r="O65" s="167" t="str">
        <x:v>The agreement permits aggregate commitments up to $12B, subject to conditions and willing existing or additional lenders. This is an option ceiling, not a $12B commitment or $2B of available funding. No exercised increase is established by the saved filings.</x:v>
      </x:c>
      <x:c r="P65" s="167"/>
      <x:c r="Q65" s="167"/>
      <x:c r="R65" s="169"/>
    </x:row>
    <x:row r="66" ht="78" customHeight="1">
      <x:c r="A66" s="89" t="str">
        <x:v>revolver_term_4</x:v>
      </x:c>
      <x:c r="B66" s="166"/>
      <x:c r="C66" s="167" t="str">
        <x:v>Borrowing procedure and conditions</x:v>
      </x:c>
      <x:c r="D66" s="168"/>
      <x:c r="E66" s="168" t="d">
        <x:v>2026-03-06T00:00:00.000Z</x:v>
      </x:c>
      <x:c r="F66" s="167" t="str">
        <x:v>10-Q Ex. 10.17</x:v>
      </x:c>
      <x:c r="G66" s="168" t="d">
        <x:v>2026-03-11T00:00:00.000Z</x:v>
      </x:c>
      <x:c r="H66" s="167" t="str">
        <x:v>0001193125-26-101045</x:v>
      </x:c>
      <x:c r="I66" s="167"/>
      <x:c r="J66" s="167"/>
      <x:c r="K66" s="167"/>
      <x:c r="L66" s="167"/>
      <x:c r="M66" s="167" t="str">
        <x:v>https://www.sec.gov/Archives/edgar/data/1341439/000119312526101045/orcl-ex10_17.htm</x:v>
      </x:c>
      <x:c r="N66" s="167" t="str">
        <x:v>§§2.02, 4.02</x:v>
      </x:c>
      <x:c r="O66" s="167" t="str">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P66" s="167"/>
      <x:c r="Q66" s="167"/>
      <x:c r="R66" s="169"/>
    </x:row>
    <x:row r="67" ht="102" customHeight="1">
      <x:c r="A67" s="89" t="str">
        <x:v>revolver_term_5</x:v>
      </x:c>
      <x:c r="B67" s="166"/>
      <x:c r="C67" s="167" t="str">
        <x:v>Covenant and evidence needed</x:v>
      </x:c>
      <x:c r="D67" s="168"/>
      <x:c r="E67" s="168" t="d">
        <x:v>2026-03-06T00:00:00.000Z</x:v>
      </x:c>
      <x:c r="F67" s="167" t="str">
        <x:v>10-Q Ex. 10.17</x:v>
      </x:c>
      <x:c r="G67" s="168" t="d">
        <x:v>2026-03-11T00:00:00.000Z</x:v>
      </x:c>
      <x:c r="H67" s="167" t="str">
        <x:v>0001193125-26-101045</x:v>
      </x:c>
      <x:c r="I67" s="167"/>
      <x:c r="J67" s="167"/>
      <x:c r="K67" s="167"/>
      <x:c r="L67" s="167"/>
      <x:c r="M67" s="167" t="str">
        <x:v>https://www.sec.gov/Archives/edgar/data/1341439/000119312526101045/orcl-ex10_17.htm</x:v>
      </x:c>
      <x:c r="N67" s="167" t="str">
        <x:v>§§1.01, 6.01(f)(iii), 6.02(c)</x:v>
      </x:c>
      <x:c r="O67" s="167" t="str">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P67" s="167"/>
      <x:c r="Q67" s="167"/>
      <x:c r="R67" s="169"/>
    </x:row>
    <x:row r="68" ht="60" customHeight="1">
      <x:c r="A68" s="89" t="str">
        <x:v>revolver_term_6</x:v>
      </x:c>
      <x:c r="B68" s="166"/>
      <x:c r="C68" s="167" t="str">
        <x:v>Permitted uses</x:v>
      </x:c>
      <x:c r="D68" s="168"/>
      <x:c r="E68" s="168" t="d">
        <x:v>2026-03-06T00:00:00.000Z</x:v>
      </x:c>
      <x:c r="F68" s="167" t="str">
        <x:v>10-Q Ex. 10.17</x:v>
      </x:c>
      <x:c r="G68" s="168" t="d">
        <x:v>2026-03-11T00:00:00.000Z</x:v>
      </x:c>
      <x:c r="H68" s="167" t="str">
        <x:v>0001193125-26-101045</x:v>
      </x:c>
      <x:c r="I68" s="167"/>
      <x:c r="J68" s="167"/>
      <x:c r="K68" s="167"/>
      <x:c r="L68" s="167"/>
      <x:c r="M68" s="167" t="str">
        <x:v>https://www.sec.gov/Archives/edgar/data/1341439/000119312526101045/orcl-ex10_17.htm</x:v>
      </x:c>
      <x:c r="N68" s="167" t="str">
        <x:v>§§2.21, 6.01(g)</x:v>
      </x:c>
      <x:c r="O68" s="167" t="str">
        <x:v>Working capital and other general corporate purposes, subject to Regulation U/X and sanctions, anti-corruption, anti-bribery and anti-money-laundering restrictions. No allocation to a particular repayment is established.</x:v>
      </x:c>
      <x:c r="P68" s="167"/>
      <x:c r="Q68" s="167"/>
      <x:c r="R68" s="169"/>
    </x:row>
    <x:row r="69" ht="78" customHeight="1">
      <x:c r="A69" s="89" t="str">
        <x:v>revolver_term_7</x:v>
      </x:c>
      <x:c r="B69" s="166"/>
      <x:c r="C69" s="167" t="str">
        <x:v>Expiration and extensions</x:v>
      </x:c>
      <x:c r="D69" s="168"/>
      <x:c r="E69" s="168" t="d">
        <x:v>2026-03-06T00:00:00.000Z</x:v>
      </x:c>
      <x:c r="F69" s="167" t="str">
        <x:v>10-Q Ex. 10.17</x:v>
      </x:c>
      <x:c r="G69" s="168" t="d">
        <x:v>2026-03-11T00:00:00.000Z</x:v>
      </x:c>
      <x:c r="H69" s="167" t="str">
        <x:v>0001193125-26-101045</x:v>
      </x:c>
      <x:c r="I69" s="167"/>
      <x:c r="J69" s="167"/>
      <x:c r="K69" s="167"/>
      <x:c r="L69" s="167"/>
      <x:c r="M69" s="167" t="str">
        <x:v>https://www.sec.gov/Archives/edgar/data/1341439/000119312526101045/orcl-ex10_17.htm</x:v>
      </x:c>
      <x:c r="N69" s="167" t="str">
        <x:v>§§1.01, 2.06, 2.07</x:v>
      </x:c>
      <x:c r="O69" s="167" t="str">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P69" s="167"/>
      <x:c r="Q69" s="167"/>
      <x:c r="R69" s="169"/>
    </x:row>
    <x:row r="70" ht="45" customHeight="1">
      <x:c r="A70" s="89" t="str">
        <x:v>revolver_source_annual</x:v>
      </x:c>
      <x:c r="B70" s="166"/>
      <x:c r="C70" s="167" t="str">
        <x:v>Saved document reviewed: orcl-20260531.htm</x:v>
      </x:c>
      <x:c r="D70" s="168"/>
      <x:c r="E70" s="168" t="d">
        <x:v>2026-05-31T00:00:00.000Z</x:v>
      </x:c>
      <x:c r="F70" s="167" t="str">
        <x:v>10-K</x:v>
      </x:c>
      <x:c r="G70" s="168" t="d">
        <x:v>2026-06-22T00:00:00.000Z</x:v>
      </x:c>
      <x:c r="H70" s="167" t="str">
        <x:v>0001193125-26-277521</x:v>
      </x:c>
      <x:c r="I70" s="167"/>
      <x:c r="J70" s="167"/>
      <x:c r="K70" s="167"/>
      <x:c r="L70" s="167"/>
      <x:c r="M70" s="167" t="str">
        <x:v>https://www.sec.gov/Archives/edgar/data/1341439/000119312526277521/orcl-20260531.htm</x:v>
      </x:c>
      <x:c r="N70" s="167" t="str">
        <x:v>Revolver audit source set</x:v>
      </x:c>
      <x:c r="O70" s="167" t="str">
        <x:v>Exact reviewed saved bytes, SHA256 61a353e222f961e516bb3e8eed024a5245cfadbf30e3cc16a4a520129f1bdf63. Part of the seven filing/contract documents; the separate SEC index check is through October 15, 2026.</x:v>
      </x:c>
      <x:c r="P70" s="167"/>
      <x:c r="Q70" s="167"/>
      <x:c r="R70" s="169"/>
    </x:row>
    <x:row r="71" ht="45" customHeight="1">
      <x:c r="A71" s="89" t="str">
        <x:v>revolver_source_quarter</x:v>
      </x:c>
      <x:c r="B71" s="166"/>
      <x:c r="C71" s="167" t="str">
        <x:v>Saved document reviewed: orcl-20260831.htm</x:v>
      </x:c>
      <x:c r="D71" s="168"/>
      <x:c r="E71" s="168" t="d">
        <x:v>2026-08-31T00:00:00.000Z</x:v>
      </x:c>
      <x:c r="F71" s="167" t="str">
        <x:v>10-Q</x:v>
      </x:c>
      <x:c r="G71" s="168" t="d">
        <x:v>2026-09-11T00:00:00.000Z</x:v>
      </x:c>
      <x:c r="H71" s="167" t="str">
        <x:v>0001193125-26-389274</x:v>
      </x:c>
      <x:c r="I71" s="167"/>
      <x:c r="J71" s="167"/>
      <x:c r="K71" s="167"/>
      <x:c r="L71" s="167"/>
      <x:c r="M71" s="167" t="str">
        <x:v>https://www.sec.gov/Archives/edgar/data/1341439/000119312526389274/orcl-20260831.htm</x:v>
      </x:c>
      <x:c r="N71" s="167" t="str">
        <x:v>Revolver audit source set</x:v>
      </x:c>
      <x:c r="O71" s="167" t="str">
        <x:v>Exact reviewed saved bytes, SHA256 051dd4893fa497f36d99c8a355cbc90107f56e1a628c78e38c76e7dca0d4a6fd. Part of the seven filing/contract documents; the separate SEC index check is through October 15, 2026.</x:v>
      </x:c>
      <x:c r="P71" s="167"/>
      <x:c r="Q71" s="167"/>
      <x:c r="R71" s="169"/>
    </x:row>
    <x:row r="72" ht="45" customHeight="1">
      <x:c r="A72" s="89" t="str">
        <x:v>revolver_source_agreement</x:v>
      </x:c>
      <x:c r="B72" s="166"/>
      <x:c r="C72" s="167" t="str">
        <x:v>Saved document reviewed: orcl-ex10_17.htm</x:v>
      </x:c>
      <x:c r="D72" s="168"/>
      <x:c r="E72" s="168" t="d">
        <x:v>2026-03-06T00:00:00.000Z</x:v>
      </x:c>
      <x:c r="F72" s="167" t="str">
        <x:v>10-Q Ex. 10.17</x:v>
      </x:c>
      <x:c r="G72" s="168" t="d">
        <x:v>2026-03-11T00:00:00.000Z</x:v>
      </x:c>
      <x:c r="H72" s="167" t="str">
        <x:v>0001193125-26-101045</x:v>
      </x:c>
      <x:c r="I72" s="167"/>
      <x:c r="J72" s="167"/>
      <x:c r="K72" s="167"/>
      <x:c r="L72" s="167"/>
      <x:c r="M72" s="167" t="str">
        <x:v>https://www.sec.gov/Archives/edgar/data/1341439/000119312526101045/orcl-ex10_17.htm</x:v>
      </x:c>
      <x:c r="N72" s="167" t="str">
        <x:v>Revolver audit source set</x:v>
      </x:c>
      <x:c r="O72" s="167" t="str">
        <x:v>Exact reviewed saved bytes, SHA256 df6152c36ea03e85eeef7153f4a9778cf170bfefd2ffd682c80aa401711478a0. Part of the seven filing/contract documents; the separate SEC index check is through October 15, 2026.</x:v>
      </x:c>
      <x:c r="P72" s="167"/>
      <x:c r="Q72" s="167"/>
      <x:c r="R72" s="169"/>
    </x:row>
    <x:row r="73" ht="45" customHeight="1">
      <x:c r="A73" s="89" t="str">
        <x:v>revolver_source_earnings</x:v>
      </x:c>
      <x:c r="B73" s="166"/>
      <x:c r="C73" s="167" t="str">
        <x:v>Saved document reviewed: orcl-20260910.htm</x:v>
      </x:c>
      <x:c r="D73" s="168"/>
      <x:c r="E73" s="168" t="d">
        <x:v>2026-09-10T00:00:00.000Z</x:v>
      </x:c>
      <x:c r="F73" s="167" t="str">
        <x:v>8-K</x:v>
      </x:c>
      <x:c r="G73" s="168" t="d">
        <x:v>2026-09-10T00:00:00.000Z</x:v>
      </x:c>
      <x:c r="H73" s="167" t="str">
        <x:v>0001193125-26-387905</x:v>
      </x:c>
      <x:c r="I73" s="167"/>
      <x:c r="J73" s="167"/>
      <x:c r="K73" s="167"/>
      <x:c r="L73" s="167"/>
      <x:c r="M73" s="167" t="str">
        <x:v>https://www.sec.gov/Archives/edgar/data/1341439/000119312526387905/orcl-20260910.htm</x:v>
      </x:c>
      <x:c r="N73" s="167" t="str">
        <x:v>Revolver audit source set</x:v>
      </x:c>
      <x:c r="O73" s="167" t="str">
        <x:v>Exact reviewed saved bytes, SHA256 159c0926d92ff240406168337f5361dd67b314a0c465306dcae903aa67107d5c. Part of the seven filing/contract documents; the separate SEC index check is through October 15, 2026.</x:v>
      </x:c>
      <x:c r="P73" s="167"/>
      <x:c r="Q73" s="167"/>
      <x:c r="R73" s="169"/>
    </x:row>
    <x:row r="74" ht="45" customHeight="1">
      <x:c r="A74" s="89" t="str">
        <x:v>revolver_source_earnings_exhibit</x:v>
      </x:c>
      <x:c r="B74" s="166"/>
      <x:c r="C74" s="167" t="str">
        <x:v>Saved document reviewed: orcl-ex99_1.htm</x:v>
      </x:c>
      <x:c r="D74" s="168"/>
      <x:c r="E74" s="168" t="d">
        <x:v>2026-09-10T00:00:00.000Z</x:v>
      </x:c>
      <x:c r="F74" s="167" t="str">
        <x:v>8-K Ex. 99.1</x:v>
      </x:c>
      <x:c r="G74" s="168" t="d">
        <x:v>2026-09-10T00:00:00.000Z</x:v>
      </x:c>
      <x:c r="H74" s="167" t="str">
        <x:v>0001193125-26-387905</x:v>
      </x:c>
      <x:c r="I74" s="167"/>
      <x:c r="J74" s="167"/>
      <x:c r="K74" s="167"/>
      <x:c r="L74" s="167"/>
      <x:c r="M74" s="167" t="str">
        <x:v>https://www.sec.gov/Archives/edgar/data/1341439/000119312526387905/orcl-ex99_1.htm</x:v>
      </x:c>
      <x:c r="N74" s="167" t="str">
        <x:v>Revolver audit source set</x:v>
      </x:c>
      <x:c r="O74" s="167" t="str">
        <x:v>Exact reviewed saved bytes, SHA256 805d1f0650b1498f845c40fd18d7ed2da0db5035165fe6086b35eb856c177eed. Part of the seven filing/contract documents; the separate SEC index check is through October 15, 2026.</x:v>
      </x:c>
      <x:c r="P74" s="167"/>
      <x:c r="Q74" s="167"/>
      <x:c r="R74" s="169"/>
    </x:row>
    <x:row r="75" ht="45" customHeight="1">
      <x:c r="A75" s="89" t="str">
        <x:v>revolver_source_plan</x:v>
      </x:c>
      <x:c r="B75" s="166"/>
      <x:c r="C75" s="167" t="str">
        <x:v>Saved document reviewed: d20034d8k.htm</x:v>
      </x:c>
      <x:c r="D75" s="168"/>
      <x:c r="E75" s="168" t="d">
        <x:v>2026-09-12T00:00:00.000Z</x:v>
      </x:c>
      <x:c r="F75" s="167" t="str">
        <x:v>8-K</x:v>
      </x:c>
      <x:c r="G75" s="168" t="d">
        <x:v>2026-09-14T00:00:00.000Z</x:v>
      </x:c>
      <x:c r="H75" s="167" t="str">
        <x:v>0001193125-26-389753</x:v>
      </x:c>
      <x:c r="I75" s="167"/>
      <x:c r="J75" s="167"/>
      <x:c r="K75" s="167"/>
      <x:c r="L75" s="167"/>
      <x:c r="M75" s="167" t="str">
        <x:v>https://www.sec.gov/Archives/edgar/data/1341439/000119312526389753/d20034d8k.htm</x:v>
      </x:c>
      <x:c r="N75" s="167" t="str">
        <x:v>Revolver audit source set</x:v>
      </x:c>
      <x:c r="O75" s="167" t="str">
        <x:v>Exact reviewed saved bytes, SHA256 d3c88d191e5e9ad5a1e62298e67e10d5f1e3b419dda8e4647a8bca0cd8afefb1. Part of the seven filing/contract documents; the separate SEC index check is through October 15, 2026.</x:v>
      </x:c>
      <x:c r="P75" s="167"/>
      <x:c r="Q75" s="167"/>
      <x:c r="R75" s="169"/>
    </x:row>
    <x:row r="76" ht="45" customHeight="1">
      <x:c r="A76" s="89" t="str">
        <x:v>revolver_source_plan_exhibit</x:v>
      </x:c>
      <x:c r="B76" s="166"/>
      <x:c r="C76" s="167" t="str">
        <x:v>Saved document reviewed: d20034dex991.htm</x:v>
      </x:c>
      <x:c r="D76" s="168"/>
      <x:c r="E76" s="168" t="d">
        <x:v>2026-09-12T00:00:00.000Z</x:v>
      </x:c>
      <x:c r="F76" s="167" t="str">
        <x:v>8-K Ex. 99.1</x:v>
      </x:c>
      <x:c r="G76" s="168" t="d">
        <x:v>2026-09-14T00:00:00.000Z</x:v>
      </x:c>
      <x:c r="H76" s="167" t="str">
        <x:v>0001193125-26-389753</x:v>
      </x:c>
      <x:c r="I76" s="167"/>
      <x:c r="J76" s="167"/>
      <x:c r="K76" s="167"/>
      <x:c r="L76" s="167"/>
      <x:c r="M76" s="167" t="str">
        <x:v>https://www.sec.gov/Archives/edgar/data/1341439/000119312526389753/d20034dex991.htm</x:v>
      </x:c>
      <x:c r="N76" s="167" t="str">
        <x:v>Revolver audit source set</x:v>
      </x:c>
      <x:c r="O76" s="167" t="str">
        <x:v>Exact reviewed saved bytes, SHA256 d934b837abf4c1f17b79c765e48365d76a89f73ee66b6023c14de722b3f8d0b3. Part of the seven filing/contract documents; the separate SEC index check is through October 15, 2026.</x:v>
      </x:c>
      <x:c r="P76" s="167"/>
      <x:c r="Q76" s="167"/>
      <x:c r="R76" s="169"/>
    </x:row>
    <x:row r="77" ht="45" customHeight="1">
      <x:c r="A77" s="89" t="str">
        <x:v>coverage_fy_operating_income</x:v>
      </x:c>
      <x:c r="B77" s="166" t="n">
        <x:v>20606000000</x:v>
      </x:c>
      <x:c r="C77" s="167" t="str">
        <x:v>fy operating_income</x:v>
      </x:c>
      <x:c r="D77" s="168" t="d">
        <x:v>2025-06-01T00:00:00.000Z</x:v>
      </x:c>
      <x:c r="E77" s="168" t="d">
        <x:v>2026-05-31T00:00:00.000Z</x:v>
      </x:c>
      <x:c r="F77" s="167" t="str">
        <x:v>10-K</x:v>
      </x:c>
      <x:c r="G77" s="168" t="d">
        <x:v>2026-06-22T00:00:00.000Z</x:v>
      </x:c>
      <x:c r="H77" s="167" t="str">
        <x:v>0001193125-26-277521</x:v>
      </x:c>
      <x:c r="I77" s="167" t="str">
        <x:v>us-gaap:OperatingIncomeLoss</x:v>
      </x:c>
      <x:c r="J77" s="167" t="str">
        <x:v>C_24317829-d237-4c29-bae3-2e46dd1ae625</x:v>
      </x:c>
      <x:c r="K77" s="167" t="n">
        <x:v>6</x:v>
      </x:c>
      <x:c r="L77" s="167" t="str">
        <x:v>-6</x:v>
      </x:c>
      <x:c r="M77" s="167" t="str">
        <x:v>https://www.sec.gov/Archives/edgar/data/1341439/000119312526277521/orcl-20260531.htm</x:v>
      </x:c>
      <x:c r="N77" s="167" t="str">
        <x:v>Operations p. 65; MD&amp;A p. 50</x:v>
      </x:c>
      <x:c r="O77" s="167" t="str"/>
      <x:c r="P77" s="167" t="str">
        <x:v>[]</x:v>
      </x:c>
      <x:c r="Q77" s="167" t="str">
        <x:v>61a353e222f961e516bb3e8eed024a5245cfadbf30e3cc16a4a520129f1bdf63</x:v>
      </x:c>
      <x:c r="R77" s="169" t="str">
        <x:v>iso4217:USD; Exact tag, duration, USD, Oracle CIK and no dimensions; agreeing duplicates only</x:v>
      </x:c>
    </x:row>
    <x:row r="78" ht="45" customHeight="1">
      <x:c r="A78" s="89" t="str">
        <x:v>coverage_fy_interest</x:v>
      </x:c>
      <x:c r="B78" s="166" t="n">
        <x:v>4599000000</x:v>
      </x:c>
      <x:c r="C78" s="167" t="str">
        <x:v>fy interest</x:v>
      </x:c>
      <x:c r="D78" s="168" t="d">
        <x:v>2025-06-01T00:00:00.000Z</x:v>
      </x:c>
      <x:c r="E78" s="168" t="d">
        <x:v>2026-05-31T00:00:00.000Z</x:v>
      </x:c>
      <x:c r="F78" s="167" t="str">
        <x:v>10-K</x:v>
      </x:c>
      <x:c r="G78" s="168" t="d">
        <x:v>2026-06-22T00:00:00.000Z</x:v>
      </x:c>
      <x:c r="H78" s="167" t="str">
        <x:v>0001193125-26-277521</x:v>
      </x:c>
      <x:c r="I78" s="167" t="str">
        <x:v>us-gaap:InterestExpense</x:v>
      </x:c>
      <x:c r="J78" s="167" t="str">
        <x:v>C_24317829-d237-4c29-bae3-2e46dd1ae625</x:v>
      </x:c>
      <x:c r="K78" s="167" t="n">
        <x:v>6</x:v>
      </x:c>
      <x:c r="L78" s="167" t="str">
        <x:v>-6</x:v>
      </x:c>
      <x:c r="M78" s="167" t="str">
        <x:v>https://www.sec.gov/Archives/edgar/data/1341439/000119312526277521/orcl-20260531.htm</x:v>
      </x:c>
      <x:c r="N78" s="167" t="str">
        <x:v>Operations p. 65; MD&amp;A p. 50</x:v>
      </x:c>
      <x:c r="O78" s="167" t="str"/>
      <x:c r="P78" s="167" t="str">
        <x:v>[]</x:v>
      </x:c>
      <x:c r="Q78" s="167" t="str">
        <x:v>61a353e222f961e516bb3e8eed024a5245cfadbf30e3cc16a4a520129f1bdf63</x:v>
      </x:c>
      <x:c r="R78" s="169" t="str">
        <x:v>iso4217:USD; Exact tag, duration, USD, Oracle CIK and no dimensions; agreeing duplicates only</x:v>
      </x:c>
    </x:row>
    <x:row r="79" ht="45" customHeight="1">
      <x:c r="A79" s="89" t="str">
        <x:v>coverage_fy_lease_interest</x:v>
      </x:c>
      <x:c r="B79" s="166" t="n">
        <x:v>279000000</x:v>
      </x:c>
      <x:c r="C79" s="167" t="str">
        <x:v>fy lease_interest</x:v>
      </x:c>
      <x:c r="D79" s="168" t="d">
        <x:v>2025-06-01T00:00:00.000Z</x:v>
      </x:c>
      <x:c r="E79" s="168" t="d">
        <x:v>2026-05-31T00:00:00.000Z</x:v>
      </x:c>
      <x:c r="F79" s="167" t="str">
        <x:v>10-K</x:v>
      </x:c>
      <x:c r="G79" s="168" t="d">
        <x:v>2026-06-22T00:00:00.000Z</x:v>
      </x:c>
      <x:c r="H79" s="167" t="str">
        <x:v>0001193125-26-277521</x:v>
      </x:c>
      <x:c r="I79" s="167" t="str">
        <x:v>us-gaap:FinanceLeaseInterestExpense</x:v>
      </x:c>
      <x:c r="J79" s="167" t="str">
        <x:v>C_24317829-d237-4c29-bae3-2e46dd1ae625</x:v>
      </x:c>
      <x:c r="K79" s="167" t="n">
        <x:v>6</x:v>
      </x:c>
      <x:c r="L79" s="167" t="str">
        <x:v>-6</x:v>
      </x:c>
      <x:c r="M79" s="167" t="str">
        <x:v>https://www.sec.gov/Archives/edgar/data/1341439/000119312526277521/orcl-20260531.htm</x:v>
      </x:c>
      <x:c r="N79" s="167" t="str">
        <x:v>Leases Note 9 p. 88</x:v>
      </x:c>
      <x:c r="O79" s="167" t="str"/>
      <x:c r="P79" s="167" t="str">
        <x:v>[]</x:v>
      </x:c>
      <x:c r="Q79" s="167" t="str">
        <x:v>61a353e222f961e516bb3e8eed024a5245cfadbf30e3cc16a4a520129f1bdf63</x:v>
      </x:c>
      <x:c r="R79" s="169" t="str">
        <x:v>iso4217:USD; Exact tag, duration, USD, Oracle CIK and no dimensions; agreeing duplicates only</x:v>
      </x:c>
    </x:row>
    <x:row r="80" ht="45" customHeight="1">
      <x:c r="A80" s="89" t="str">
        <x:v>coverage_current_operating_income</x:v>
      </x:c>
      <x:c r="B80" s="166" t="n">
        <x:v>6728000000</x:v>
      </x:c>
      <x:c r="C80" s="167" t="str">
        <x:v>current operating_income</x:v>
      </x:c>
      <x:c r="D80" s="168" t="d">
        <x:v>2026-06-01T00:00:00.000Z</x:v>
      </x:c>
      <x:c r="E80" s="168" t="d">
        <x:v>2026-08-31T00:00:00.000Z</x:v>
      </x:c>
      <x:c r="F80" s="167" t="str">
        <x:v>10-Q</x:v>
      </x:c>
      <x:c r="G80" s="168" t="d">
        <x:v>2026-09-11T00:00:00.000Z</x:v>
      </x:c>
      <x:c r="H80" s="167" t="str">
        <x:v>0001193125-26-389274</x:v>
      </x:c>
      <x:c r="I80" s="167" t="str">
        <x:v>us-gaap:OperatingIncomeLoss</x:v>
      </x:c>
      <x:c r="J80" s="167" t="str">
        <x:v>C_f2f9ad85-08df-4e59-8948-bfd9405570de</x:v>
      </x:c>
      <x:c r="K80" s="167" t="n">
        <x:v>6</x:v>
      </x:c>
      <x:c r="L80" s="167" t="str">
        <x:v>-6</x:v>
      </x:c>
      <x:c r="M80" s="167" t="str">
        <x:v>https://www.sec.gov/Archives/edgar/data/1341439/000119312526389274/orcl-20260831.htm</x:v>
      </x:c>
      <x:c r="N80" s="167" t="str">
        <x:v>Operations p. 2; MD&amp;A p. 32</x:v>
      </x:c>
      <x:c r="O80" s="167" t="str"/>
      <x:c r="P80" s="167" t="str">
        <x:v>[]</x:v>
      </x:c>
      <x:c r="Q80" s="167" t="str">
        <x:v>051dd4893fa497f36d99c8a355cbc90107f56e1a628c78e38c76e7dca0d4a6fd</x:v>
      </x:c>
      <x:c r="R80" s="169" t="str">
        <x:v>iso4217:USD; Exact tag, duration, USD, Oracle CIK and no dimensions; agreeing duplicates only</x:v>
      </x:c>
    </x:row>
    <x:row r="81" ht="45" customHeight="1">
      <x:c r="A81" s="89" t="str">
        <x:v>coverage_current_interest</x:v>
      </x:c>
      <x:c r="B81" s="166" t="n">
        <x:v>1428000000</x:v>
      </x:c>
      <x:c r="C81" s="167" t="str">
        <x:v>current interest</x:v>
      </x:c>
      <x:c r="D81" s="168" t="d">
        <x:v>2026-06-01T00:00:00.000Z</x:v>
      </x:c>
      <x:c r="E81" s="168" t="d">
        <x:v>2026-08-31T00:00:00.000Z</x:v>
      </x:c>
      <x:c r="F81" s="167" t="str">
        <x:v>10-Q</x:v>
      </x:c>
      <x:c r="G81" s="168" t="d">
        <x:v>2026-09-11T00:00:00.000Z</x:v>
      </x:c>
      <x:c r="H81" s="167" t="str">
        <x:v>0001193125-26-389274</x:v>
      </x:c>
      <x:c r="I81" s="167" t="str">
        <x:v>us-gaap:InterestExpense</x:v>
      </x:c>
      <x:c r="J81" s="167" t="str">
        <x:v>C_f2f9ad85-08df-4e59-8948-bfd9405570de</x:v>
      </x:c>
      <x:c r="K81" s="167" t="n">
        <x:v>6</x:v>
      </x:c>
      <x:c r="L81" s="167" t="str">
        <x:v>-6</x:v>
      </x:c>
      <x:c r="M81" s="167" t="str">
        <x:v>https://www.sec.gov/Archives/edgar/data/1341439/000119312526389274/orcl-20260831.htm</x:v>
      </x:c>
      <x:c r="N81" s="167" t="str">
        <x:v>Operations p. 2; MD&amp;A p. 32</x:v>
      </x:c>
      <x:c r="O81" s="167" t="str"/>
      <x:c r="P81" s="167" t="str">
        <x:v>[]</x:v>
      </x:c>
      <x:c r="Q81" s="167" t="str">
        <x:v>051dd4893fa497f36d99c8a355cbc90107f56e1a628c78e38c76e7dca0d4a6fd</x:v>
      </x:c>
      <x:c r="R81" s="169" t="str">
        <x:v>iso4217:USD; Exact tag, duration, USD, Oracle CIK and no dimensions; agreeing duplicates only</x:v>
      </x:c>
    </x:row>
    <x:row r="82" ht="45" customHeight="1">
      <x:c r="A82" s="89" t="str">
        <x:v>coverage_current_lease_interest</x:v>
      </x:c>
      <x:c r="B82" s="166" t="n">
        <x:v>126000000</x:v>
      </x:c>
      <x:c r="C82" s="167" t="str">
        <x:v>current lease_interest</x:v>
      </x:c>
      <x:c r="D82" s="168" t="d">
        <x:v>2026-06-01T00:00:00.000Z</x:v>
      </x:c>
      <x:c r="E82" s="168" t="d">
        <x:v>2026-08-31T00:00:00.000Z</x:v>
      </x:c>
      <x:c r="F82" s="167" t="str">
        <x:v>10-Q</x:v>
      </x:c>
      <x:c r="G82" s="168" t="d">
        <x:v>2026-09-11T00:00:00.000Z</x:v>
      </x:c>
      <x:c r="H82" s="167" t="str">
        <x:v>0001193125-26-389274</x:v>
      </x:c>
      <x:c r="I82" s="167" t="str">
        <x:v>us-gaap:FinanceLeaseInterestExpense</x:v>
      </x:c>
      <x:c r="J82" s="167" t="str">
        <x:v>C_f2f9ad85-08df-4e59-8948-bfd9405570de</x:v>
      </x:c>
      <x:c r="K82" s="167" t="n">
        <x:v>6</x:v>
      </x:c>
      <x:c r="L82" s="167" t="str">
        <x:v>-6</x:v>
      </x:c>
      <x:c r="M82" s="167" t="str">
        <x:v>https://www.sec.gov/Archives/edgar/data/1341439/000119312526389274/orcl-20260831.htm</x:v>
      </x:c>
      <x:c r="N82" s="167" t="str">
        <x:v>Leases Note 6 p. 12</x:v>
      </x:c>
      <x:c r="O82" s="167" t="str"/>
      <x:c r="P82" s="167" t="str">
        <x:v>[]</x:v>
      </x:c>
      <x:c r="Q82" s="167" t="str">
        <x:v>051dd4893fa497f36d99c8a355cbc90107f56e1a628c78e38c76e7dca0d4a6fd</x:v>
      </x:c>
      <x:c r="R82" s="169" t="str">
        <x:v>iso4217:USD; Exact tag, duration, USD, Oracle CIK and no dimensions; agreeing duplicates only</x:v>
      </x:c>
    </x:row>
    <x:row r="83" ht="45" customHeight="1">
      <x:c r="A83" s="89" t="str">
        <x:v>coverage_prior_operating_income</x:v>
      </x:c>
      <x:c r="B83" s="166" t="n">
        <x:v>4277000000</x:v>
      </x:c>
      <x:c r="C83" s="167" t="str">
        <x:v>prior operating_income</x:v>
      </x:c>
      <x:c r="D83" s="168" t="d">
        <x:v>2025-06-01T00:00:00.000Z</x:v>
      </x:c>
      <x:c r="E83" s="168" t="d">
        <x:v>2025-08-31T00:00:00.000Z</x:v>
      </x:c>
      <x:c r="F83" s="167" t="str">
        <x:v>10-Q</x:v>
      </x:c>
      <x:c r="G83" s="168" t="d">
        <x:v>2026-09-11T00:00:00.000Z</x:v>
      </x:c>
      <x:c r="H83" s="167" t="str">
        <x:v>0001193125-26-389274</x:v>
      </x:c>
      <x:c r="I83" s="167" t="str">
        <x:v>us-gaap:OperatingIncomeLoss</x:v>
      </x:c>
      <x:c r="J83" s="167" t="str">
        <x:v>C_a0bdcecc-b2bf-40f4-8106-f50197737571</x:v>
      </x:c>
      <x:c r="K83" s="167" t="n">
        <x:v>6</x:v>
      </x:c>
      <x:c r="L83" s="167" t="str">
        <x:v>-6</x:v>
      </x:c>
      <x:c r="M83" s="167" t="str">
        <x:v>https://www.sec.gov/Archives/edgar/data/1341439/000119312526389274/orcl-20260831.htm</x:v>
      </x:c>
      <x:c r="N83" s="167" t="str">
        <x:v>Operations p. 2; MD&amp;A p. 32</x:v>
      </x:c>
      <x:c r="O83" s="167" t="str"/>
      <x:c r="P83" s="167" t="str">
        <x:v>[]</x:v>
      </x:c>
      <x:c r="Q83" s="167" t="str">
        <x:v>051dd4893fa497f36d99c8a355cbc90107f56e1a628c78e38c76e7dca0d4a6fd</x:v>
      </x:c>
      <x:c r="R83" s="169" t="str">
        <x:v>iso4217:USD; Exact tag, duration, USD, Oracle CIK and no dimensions; agreeing duplicates only</x:v>
      </x:c>
    </x:row>
    <x:row r="84" ht="45" customHeight="1">
      <x:c r="A84" s="89" t="str">
        <x:v>coverage_prior_interest</x:v>
      </x:c>
      <x:c r="B84" s="166" t="n">
        <x:v>923000000</x:v>
      </x:c>
      <x:c r="C84" s="167" t="str">
        <x:v>prior interest</x:v>
      </x:c>
      <x:c r="D84" s="168" t="d">
        <x:v>2025-06-01T00:00:00.000Z</x:v>
      </x:c>
      <x:c r="E84" s="168" t="d">
        <x:v>2025-08-31T00:00:00.000Z</x:v>
      </x:c>
      <x:c r="F84" s="167" t="str">
        <x:v>10-Q</x:v>
      </x:c>
      <x:c r="G84" s="168" t="d">
        <x:v>2026-09-11T00:00:00.000Z</x:v>
      </x:c>
      <x:c r="H84" s="167" t="str">
        <x:v>0001193125-26-389274</x:v>
      </x:c>
      <x:c r="I84" s="167" t="str">
        <x:v>us-gaap:InterestExpense</x:v>
      </x:c>
      <x:c r="J84" s="167" t="str">
        <x:v>C_a0bdcecc-b2bf-40f4-8106-f50197737571</x:v>
      </x:c>
      <x:c r="K84" s="167" t="n">
        <x:v>6</x:v>
      </x:c>
      <x:c r="L84" s="167" t="str">
        <x:v>-6</x:v>
      </x:c>
      <x:c r="M84" s="167" t="str">
        <x:v>https://www.sec.gov/Archives/edgar/data/1341439/000119312526389274/orcl-20260831.htm</x:v>
      </x:c>
      <x:c r="N84" s="167" t="str">
        <x:v>Operations p. 2; MD&amp;A p. 32</x:v>
      </x:c>
      <x:c r="O84" s="167" t="str"/>
      <x:c r="P84" s="167" t="str">
        <x:v>[]</x:v>
      </x:c>
      <x:c r="Q84" s="167" t="str">
        <x:v>051dd4893fa497f36d99c8a355cbc90107f56e1a628c78e38c76e7dca0d4a6fd</x:v>
      </x:c>
      <x:c r="R84" s="169" t="str">
        <x:v>iso4217:USD; Exact tag, duration, USD, Oracle CIK and no dimensions; agreeing duplicates only</x:v>
      </x:c>
    </x:row>
    <x:row r="85" ht="45" customHeight="1">
      <x:c r="A85" s="89" t="str">
        <x:v>coverage_prior_lease_interest</x:v>
      </x:c>
      <x:c r="B85" s="166" t="n">
        <x:v>48000000</x:v>
      </x:c>
      <x:c r="C85" s="167" t="str">
        <x:v>prior lease_interest</x:v>
      </x:c>
      <x:c r="D85" s="168" t="d">
        <x:v>2025-06-01T00:00:00.000Z</x:v>
      </x:c>
      <x:c r="E85" s="168" t="d">
        <x:v>2025-08-31T00:00:00.000Z</x:v>
      </x:c>
      <x:c r="F85" s="167" t="str">
        <x:v>10-Q</x:v>
      </x:c>
      <x:c r="G85" s="168" t="d">
        <x:v>2026-09-11T00:00:00.000Z</x:v>
      </x:c>
      <x:c r="H85" s="167" t="str">
        <x:v>0001193125-26-389274</x:v>
      </x:c>
      <x:c r="I85" s="167" t="str">
        <x:v>us-gaap:FinanceLeaseInterestExpense</x:v>
      </x:c>
      <x:c r="J85" s="167" t="str">
        <x:v>C_a0bdcecc-b2bf-40f4-8106-f50197737571</x:v>
      </x:c>
      <x:c r="K85" s="167" t="n">
        <x:v>6</x:v>
      </x:c>
      <x:c r="L85" s="167" t="str">
        <x:v>-6</x:v>
      </x:c>
      <x:c r="M85" s="167" t="str">
        <x:v>https://www.sec.gov/Archives/edgar/data/1341439/000119312526389274/orcl-20260831.htm</x:v>
      </x:c>
      <x:c r="N85" s="167" t="str">
        <x:v>Leases Note 6 p. 12</x:v>
      </x:c>
      <x:c r="O85" s="167" t="str"/>
      <x:c r="P85" s="167" t="str">
        <x:v>[]</x:v>
      </x:c>
      <x:c r="Q85" s="167" t="str">
        <x:v>051dd4893fa497f36d99c8a355cbc90107f56e1a628c78e38c76e7dca0d4a6fd</x:v>
      </x:c>
      <x:c r="R85" s="169" t="str">
        <x:v>iso4217:USD; Exact tag, duration, USD, Oracle CIK and no dimensions; agreeing duplicates only</x:v>
      </x:c>
    </x:row>
    <x:row r="86" ht="45" customHeight="1">
      <x:c r="A86" s="100" t="str">
        <x:v>financing_index</x:v>
      </x:c>
      <x:c r="B86" s="171"/>
      <x:c r="C86" s="172" t="str">
        <x:v>SEC financing-candidate index</x:v>
      </x:c>
      <x:c r="D86" s="173" t="d">
        <x:v>2026-08-31T00:00:00.000Z</x:v>
      </x:c>
      <x:c r="E86" s="173" t="d">
        <x:v>2026-10-15T00:00:00.000Z</x:v>
      </x:c>
      <x:c r="F86" s="172" t="str">
        <x:v>SEC submissions index</x:v>
      </x:c>
      <x:c r="G86" s="173"/>
      <x:c r="H86" s="172"/>
      <x:c r="I86" s="172"/>
      <x:c r="J86" s="172"/>
      <x:c r="K86" s="172"/>
      <x:c r="L86" s="172"/>
      <x:c r="M86" s="172" t="str">
        <x:v>https://data.sec.gov/submissions/CIK0001341439.json</x:v>
      </x:c>
      <x:c r="N86" s="172" t="str">
        <x:v>Two later 8-K candidates, matched to reviewed documents</x:v>
      </x:c>
      <x:c r="O86" s="172" t="str">
        <x:v>Retrieved index SHA256 bed0ec89b0d273799517d3e332b3a4ba3612168f0e4e9b963759b507f857adec; checked 2026-10-16</x:v>
      </x:c>
      <x:c r="P86" s="172"/>
      <x:c r="Q86" s="172" t="str">
        <x:v>bed0ec89b0d273799517d3e332b3a4ba3612168f0e4e9b963759b507f857adec</x:v>
      </x:c>
      <x:c r="R86" s="174"/>
    </x:row>
    <x:row r="89" ht="72" customHeight="1">
      <x:c r="A89" s="13" t="str">
        <x:v>Funding conclusion evidence</x:v>
      </x:c>
      <x:c r="B89" s="219" t="str">
        <x:v>Filing / filed date</x:v>
      </x:c>
      <x:c r="C89" s="219" t="str">
        <x:v>Accession</x:v>
      </x:c>
      <x:c r="D89" s="14" t="str">
        <x:v>Location</x:v>
      </x:c>
      <x:c r="M89" s="223" t="str">
        <x:v>SEC source</x:v>
      </x:c>
    </x:row>
    <x:row r="90" ht="72" customHeight="1">
      <x:c r="A90" s="25" t="str">
        <x:v>Near-term obligations</x:v>
      </x:c>
      <x:c r="B90" s="205" t="str">
        <x:v>10-Q filed Sep 11, 2026</x:v>
      </x:c>
      <x:c r="C90" s="205" t="str">
        <x:v>0001193125-26-389274</x:v>
      </x:c>
      <x:c r="D90" s="16" t="str">
        <x:v>pp. 1–2, 5–7, 12–14, 32–35</x:v>
      </x:c>
      <x:c r="M90" s="208" t="str">
        <x:v>https://www.sec.gov/Archives/edgar/data/1341439/000119312526389274/orcl-20260831.htm</x:v>
      </x:c>
    </x:row>
    <x:row r="91" ht="72" customHeight="1">
      <x:c r="A91" s="25" t="str">
        <x:v>Resources and access</x:v>
      </x:c>
      <x:c r="B91" s="205" t="str">
        <x:v>10-Q filed Sep 11, 2026</x:v>
      </x:c>
      <x:c r="C91" s="205" t="str">
        <x:v>0001193125-26-389274</x:v>
      </x:c>
      <x:c r="D91" s="16" t="str">
        <x:v>pp. 1–2, 5–7, 12–14, 32–35</x:v>
      </x:c>
      <x:c r="M91" s="208" t="str">
        <x:v>https://www.sec.gov/Archives/edgar/data/1341439/000119312526389274/orcl-20260831.htm</x:v>
      </x:c>
    </x:row>
    <x:row r="92" ht="72" customHeight="1">
      <x:c r="A92" s="25" t="str">
        <x:v>Resources and access</x:v>
      </x:c>
      <x:c r="B92" s="205" t="str">
        <x:v>10-K filed Jun 22, 2026</x:v>
      </x:c>
      <x:c r="C92" s="205" t="str">
        <x:v>0001193125-26-277521</x:v>
      </x:c>
      <x:c r="D92" s="16" t="str">
        <x:v>pp. 50, 65, 83–85, 88</x:v>
      </x:c>
      <x:c r="M92" s="208" t="str">
        <x:v>https://www.sec.gov/Archives/edgar/data/1341439/000119312526277521/orcl-20260531.htm</x:v>
      </x:c>
    </x:row>
    <x:row r="93" ht="72" customHeight="1">
      <x:c r="A93" s="25" t="str">
        <x:v>Resources and access</x:v>
      </x:c>
      <x:c r="B93" s="205" t="str">
        <x:v>Credit agreement filed Mar 11, 2026</x:v>
      </x:c>
      <x:c r="C93" s="205" t="str">
        <x:v>0001193125-26-101045</x:v>
      </x:c>
      <x:c r="D93" s="16" t="str">
        <x:v>§§2.01, 2.21, 4.02, 6.02(c)</x:v>
      </x:c>
      <x:c r="M93" s="208" t="str">
        <x:v>https://www.sec.gov/Archives/edgar/data/1341439/000119312526101045/orcl-ex10_17.htm</x:v>
      </x:c>
    </x:row>
    <x:row r="94" ht="72" customHeight="1">
      <x:c r="A94" s="25" t="str">
        <x:v>Competing cash uses</x:v>
      </x:c>
      <x:c r="B94" s="205" t="str">
        <x:v>10-Q filed Sep 11, 2026</x:v>
      </x:c>
      <x:c r="C94" s="205" t="str">
        <x:v>0001193125-26-389274</x:v>
      </x:c>
      <x:c r="D94" s="16" t="str">
        <x:v>pp. 1–2, 5–7, 12–14, 32–35</x:v>
      </x:c>
      <x:c r="M94" s="208" t="str">
        <x:v>https://www.sec.gov/Archives/edgar/data/1341439/000119312526389274/orcl-20260831.htm</x:v>
      </x:c>
    </x:row>
    <x:row r="95" ht="72" customHeight="1">
      <x:c r="A95" s="25" t="str">
        <x:v>Decisive unknowns</x:v>
      </x:c>
      <x:c r="B95" s="205" t="str">
        <x:v>10-Q filed Sep 11, 2026</x:v>
      </x:c>
      <x:c r="C95" s="205" t="str">
        <x:v>0001193125-26-389274</x:v>
      </x:c>
      <x:c r="D95" s="16" t="str">
        <x:v>pp. 1–2, 5–7, 12–14, 32–35</x:v>
      </x:c>
      <x:c r="M95" s="208" t="str">
        <x:v>https://www.sec.gov/Archives/edgar/data/1341439/000119312526389274/orcl-20260831.htm</x:v>
      </x:c>
    </x:row>
    <x:row r="96" ht="72" customHeight="1">
      <x:c r="A96" s="25" t="str">
        <x:v>Decisive unknowns</x:v>
      </x:c>
      <x:c r="B96" s="205" t="str">
        <x:v>10-K filed Jun 22, 2026</x:v>
      </x:c>
      <x:c r="C96" s="205" t="str">
        <x:v>0001193125-26-277521</x:v>
      </x:c>
      <x:c r="D96" s="16" t="str">
        <x:v>pp. 50, 65, 83–85, 88</x:v>
      </x:c>
      <x:c r="M96" s="208" t="str">
        <x:v>https://www.sec.gov/Archives/edgar/data/1341439/000119312526277521/orcl-20260531.htm</x:v>
      </x:c>
    </x:row>
    <x:row r="97" ht="72" customHeight="1">
      <x:c r="A97" s="25" t="str">
        <x:v>Decisive unknowns</x:v>
      </x:c>
      <x:c r="B97" s="205" t="str">
        <x:v>Credit agreement filed Mar 11, 2026</x:v>
      </x:c>
      <x:c r="C97" s="205" t="str">
        <x:v>0001193125-26-101045</x:v>
      </x:c>
      <x:c r="D97" s="16" t="str">
        <x:v>§§2.01, 2.21, 4.02, 6.02(c)</x:v>
      </x:c>
      <x:c r="M97" s="208" t="str">
        <x:v>https://www.sec.gov/Archives/edgar/data/1341439/000119312526101045/orcl-ex10_17.htm</x:v>
      </x:c>
    </x:row>
    <x:row r="98" ht="72" customHeight="1">
      <x:c r="A98" s="25" t="str">
        <x:v>Historical coverage</x:v>
      </x:c>
      <x:c r="B98" s="205" t="str">
        <x:v>10-Q filed Sep 11, 2026</x:v>
      </x:c>
      <x:c r="C98" s="205" t="str">
        <x:v>0001193125-26-389274</x:v>
      </x:c>
      <x:c r="D98" s="16" t="str">
        <x:v>Operations p. 2; lease Note 6 p. 12; MD&amp;A p. 32</x:v>
      </x:c>
      <x:c r="M98" s="208" t="str">
        <x:v>https://www.sec.gov/Archives/edgar/data/1341439/000119312526389274/orcl-20260831.htm</x:v>
      </x:c>
    </x:row>
    <x:row r="99" ht="72" customHeight="1">
      <x:c r="A99" s="26" t="str">
        <x:v>Historical coverage</x:v>
      </x:c>
      <x:c r="B99" s="206" t="str">
        <x:v>10-K filed Jun 22, 2026</x:v>
      </x:c>
      <x:c r="C99" s="206" t="str">
        <x:v>0001193125-26-277521</x:v>
      </x:c>
      <x:c r="D99" s="18" t="str">
        <x:v>Operations p. 65; MD&amp;A p. 50; lease Note 9 p. 88</x:v>
      </x:c>
      <x:c r="M99" s="209" t="str">
        <x:v>https://www.sec.gov/Archives/edgar/data/1341439/000119312526277521/orcl-20260531.htm</x:v>
      </x:c>
    </x:row>
    <x:row r="102" ht="78" customHeight="1">
      <x:c r="A102" s="13" t="str">
        <x:v>Key</x:v>
      </x:c>
      <x:c r="B102" s="219" t="str">
        <x:v>USD millions unless x</x:v>
      </x:c>
      <x:c r="C102" s="219" t="str">
        <x:v>Reported input</x:v>
      </x:c>
      <x:c r="D102" s="219" t="str">
        <x:v>Period start</x:v>
      </x:c>
      <x:c r="E102" s="219" t="str">
        <x:v>Period end / as of</x:v>
      </x:c>
      <x:c r="F102" s="219" t="str">
        <x:v>Form</x:v>
      </x:c>
      <x:c r="G102" s="219" t="str">
        <x:v>Filed</x:v>
      </x:c>
      <x:c r="H102" s="219" t="str">
        <x:v>Accession</x:v>
      </x:c>
      <x:c r="I102" s="219" t="str">
        <x:v>Tag</x:v>
      </x:c>
      <x:c r="J102" s="219" t="str">
        <x:v>Context ID</x:v>
      </x:c>
      <x:c r="K102" s="219" t="str">
        <x:v>Scale</x:v>
      </x:c>
      <x:c r="L102" s="219" t="str">
        <x:v>Decimals</x:v>
      </x:c>
      <x:c r="M102" s="219" t="str">
        <x:v>Source</x:v>
      </x:c>
      <x:c r="N102" s="219" t="str">
        <x:v>Filing location</x:v>
      </x:c>
      <x:c r="O102" s="219" t="str">
        <x:v>Finding / Unavailable reason</x:v>
      </x:c>
      <x:c r="P102" s="219" t="str">
        <x:v>Dimensions</x:v>
      </x:c>
      <x:c r="Q102" s="219" t="str">
        <x:v>Reviewed source SHA256</x:v>
      </x:c>
      <x:c r="R102" s="14" t="str">
        <x:v>Unit and selection rule</x:v>
      </x:c>
    </x:row>
    <x:row r="103" ht="78" customHeight="1">
      <x:c r="A103" s="25" t="str">
        <x:v>Current borrowing</x:v>
      </x:c>
      <x:c r="B103" s="227" t="n">
        <x:v>7625000000</x:v>
      </x:c>
      <x:c r="C103" s="205" t="str">
        <x:v>Current borrowing</x:v>
      </x:c>
      <x:c r="D103" s="205"/>
      <x:c r="E103" s="228" t="d">
        <x:v>2026-08-31T00:00:00.000Z</x:v>
      </x:c>
      <x:c r="F103" s="205" t="str">
        <x:v>10-Q</x:v>
      </x:c>
      <x:c r="G103" s="228" t="d">
        <x:v>2026-09-11T00:00:00.000Z</x:v>
      </x:c>
      <x:c r="H103" s="205" t="str">
        <x:v>0001193125-26-389274</x:v>
      </x:c>
      <x:c r="I103" s="205" t="str">
        <x:v>us-gaap:NotesPayableCurrent</x:v>
      </x:c>
      <x:c r="J103" s="205"/>
      <x:c r="K103" s="205"/>
      <x:c r="L103" s="205"/>
      <x:c r="M103" s="205" t="str">
        <x:v>https://www.sec.gov/Archives/edgar/data/1341439/000119312526389274/orcl-20260831.htm</x:v>
      </x:c>
      <x:c r="N103" s="205" t="str">
        <x:v>10-Q balance sheet, p. 1</x:v>
      </x:c>
      <x:c r="O103" s="205" t="str"/>
      <x:c r="P103" s="205" t="str">
        <x:v>[]</x:v>
      </x:c>
      <x:c r="Q103" s="205" t="str"/>
      <x:c r="R103" s="16" t="str">
        <x:v>USD; exact checked instant</x:v>
      </x:c>
    </x:row>
    <x:row r="104" ht="78" customHeight="1">
      <x:c r="A104" s="25" t="str">
        <x:v>Noncurrent borrowing</x:v>
      </x:c>
      <x:c r="B104" s="227" t="n">
        <x:v>117712000000</x:v>
      </x:c>
      <x:c r="C104" s="205" t="str">
        <x:v>Noncurrent borrowing</x:v>
      </x:c>
      <x:c r="D104" s="205"/>
      <x:c r="E104" s="228" t="d">
        <x:v>2026-08-31T00:00:00.000Z</x:v>
      </x:c>
      <x:c r="F104" s="205" t="str">
        <x:v>10-Q</x:v>
      </x:c>
      <x:c r="G104" s="228" t="d">
        <x:v>2026-09-11T00:00:00.000Z</x:v>
      </x:c>
      <x:c r="H104" s="205" t="str">
        <x:v>0001193125-26-389274</x:v>
      </x:c>
      <x:c r="I104" s="205" t="str">
        <x:v>us-gaap:LongTermNotesAndLoans</x:v>
      </x:c>
      <x:c r="J104" s="205"/>
      <x:c r="K104" s="205"/>
      <x:c r="L104" s="205"/>
      <x:c r="M104" s="205" t="str">
        <x:v>https://www.sec.gov/Archives/edgar/data/1341439/000119312526389274/orcl-20260831.htm</x:v>
      </x:c>
      <x:c r="N104" s="205" t="str">
        <x:v>10-Q balance sheet, p. 1</x:v>
      </x:c>
      <x:c r="O104" s="205" t="str"/>
      <x:c r="P104" s="205" t="str">
        <x:v>[]</x:v>
      </x:c>
      <x:c r="Q104" s="205" t="str"/>
      <x:c r="R104" s="16" t="str">
        <x:v>USD; exact checked instant</x:v>
      </x:c>
    </x:row>
    <x:row r="105" ht="78" customHeight="1">
      <x:c r="A105" s="25" t="str">
        <x:v>Operating lease liabilities — current</x:v>
      </x:c>
      <x:c r="B105" s="227" t="n">
        <x:v>4027000000</x:v>
      </x:c>
      <x:c r="C105" s="205" t="str">
        <x:v>Operating lease liabilities — current</x:v>
      </x:c>
      <x:c r="D105" s="205"/>
      <x:c r="E105" s="228" t="d">
        <x:v>2026-08-31T00:00:00.000Z</x:v>
      </x:c>
      <x:c r="F105" s="205" t="str">
        <x:v>10-Q</x:v>
      </x:c>
      <x:c r="G105" s="228" t="d">
        <x:v>2026-09-11T00:00:00.000Z</x:v>
      </x:c>
      <x:c r="H105" s="205" t="str">
        <x:v>0001193125-26-389274</x:v>
      </x:c>
      <x:c r="I105" s="205" t="str">
        <x:v>us-gaap:OperatingLeaseLiabilityCurrent</x:v>
      </x:c>
      <x:c r="J105" s="205" t="str">
        <x:v>C_6aa4717d-0551-43f7-9cf4-c8a0049a656e</x:v>
      </x:c>
      <x:c r="K105" s="205" t="n">
        <x:v>6</x:v>
      </x:c>
      <x:c r="L105" s="205" t="str">
        <x:v>-6</x:v>
      </x:c>
      <x:c r="M105" s="205" t="str">
        <x:v>https://www.sec.gov/Archives/edgar/data/1341439/000119312526389274/orcl-20260831.htm</x:v>
      </x:c>
      <x:c r="N105" s="205" t="str">
        <x:v>10-Q Note 6, pp. 12–13</x:v>
      </x:c>
      <x:c r="O105" s="205" t="str"/>
      <x:c r="P105" s="205" t="str">
        <x:v>[]</x:v>
      </x:c>
      <x:c r="Q105" s="205" t="str">
        <x:v>051dd4893fa497f36d99c8a355cbc90107f56e1a628c78e38c76e7dca0d4a6fd</x:v>
      </x:c>
      <x:c r="R105" s="16" t="str">
        <x:v>USD; exact checked instant</x:v>
      </x:c>
    </x:row>
    <x:row r="106" ht="78" customHeight="1">
      <x:c r="A106" s="25" t="str">
        <x:v>Operating lease liabilities — noncurrent</x:v>
      </x:c>
      <x:c r="B106" s="227" t="n">
        <x:v>30594000000</x:v>
      </x:c>
      <x:c r="C106" s="205" t="str">
        <x:v>Operating lease liabilities — noncurrent</x:v>
      </x:c>
      <x:c r="D106" s="205"/>
      <x:c r="E106" s="228" t="d">
        <x:v>2026-08-31T00:00:00.000Z</x:v>
      </x:c>
      <x:c r="F106" s="205" t="str">
        <x:v>10-Q</x:v>
      </x:c>
      <x:c r="G106" s="228" t="d">
        <x:v>2026-09-11T00:00:00.000Z</x:v>
      </x:c>
      <x:c r="H106" s="205" t="str">
        <x:v>0001193125-26-389274</x:v>
      </x:c>
      <x:c r="I106" s="205" t="str">
        <x:v>us-gaap:OperatingLeaseLiabilityNoncurrent</x:v>
      </x:c>
      <x:c r="J106" s="205" t="str">
        <x:v>C_6aa4717d-0551-43f7-9cf4-c8a0049a656e</x:v>
      </x:c>
      <x:c r="K106" s="205" t="n">
        <x:v>6</x:v>
      </x:c>
      <x:c r="L106" s="205" t="str">
        <x:v>-6</x:v>
      </x:c>
      <x:c r="M106" s="205" t="str">
        <x:v>https://www.sec.gov/Archives/edgar/data/1341439/000119312526389274/orcl-20260831.htm</x:v>
      </x:c>
      <x:c r="N106" s="205" t="str">
        <x:v>10-Q Note 6, pp. 12–13</x:v>
      </x:c>
      <x:c r="O106" s="205" t="str"/>
      <x:c r="P106" s="205" t="str">
        <x:v>[]</x:v>
      </x:c>
      <x:c r="Q106" s="205" t="str">
        <x:v>051dd4893fa497f36d99c8a355cbc90107f56e1a628c78e38c76e7dca0d4a6fd</x:v>
      </x:c>
      <x:c r="R106" s="16" t="str">
        <x:v>USD; exact checked instant</x:v>
      </x:c>
    </x:row>
    <x:row r="107" ht="78" customHeight="1">
      <x:c r="A107" s="25" t="str">
        <x:v>Operating lease liabilities — reported total control</x:v>
      </x:c>
      <x:c r="B107" s="227" t="n">
        <x:v>34621000000</x:v>
      </x:c>
      <x:c r="C107" s="205" t="str">
        <x:v>Operating lease liabilities — reported total control</x:v>
      </x:c>
      <x:c r="D107" s="205"/>
      <x:c r="E107" s="228" t="d">
        <x:v>2026-08-31T00:00:00.000Z</x:v>
      </x:c>
      <x:c r="F107" s="205" t="str">
        <x:v>10-Q</x:v>
      </x:c>
      <x:c r="G107" s="228" t="d">
        <x:v>2026-09-11T00:00:00.000Z</x:v>
      </x:c>
      <x:c r="H107" s="205" t="str">
        <x:v>0001193125-26-389274</x:v>
      </x:c>
      <x:c r="I107" s="205" t="str">
        <x:v>us-gaap:OperatingLeaseLiability</x:v>
      </x:c>
      <x:c r="J107" s="205" t="str">
        <x:v>C_6aa4717d-0551-43f7-9cf4-c8a0049a656e</x:v>
      </x:c>
      <x:c r="K107" s="205" t="n">
        <x:v>6</x:v>
      </x:c>
      <x:c r="L107" s="205" t="str">
        <x:v>-6</x:v>
      </x:c>
      <x:c r="M107" s="205" t="str">
        <x:v>https://www.sec.gov/Archives/edgar/data/1341439/000119312526389274/orcl-20260831.htm</x:v>
      </x:c>
      <x:c r="N107" s="205" t="str">
        <x:v>10-Q Note 6, pp. 12–13</x:v>
      </x:c>
      <x:c r="O107" s="205" t="str"/>
      <x:c r="P107" s="205" t="str">
        <x:v>[]</x:v>
      </x:c>
      <x:c r="Q107" s="205" t="str">
        <x:v>051dd4893fa497f36d99c8a355cbc90107f56e1a628c78e38c76e7dca0d4a6fd</x:v>
      </x:c>
      <x:c r="R107" s="16" t="str">
        <x:v>USD; exact checked instant</x:v>
      </x:c>
    </x:row>
    <x:row r="108" ht="78" customHeight="1">
      <x:c r="A108" s="25" t="str">
        <x:v>Finance lease liabilities — current</x:v>
      </x:c>
      <x:c r="B108" s="227" t="n">
        <x:v>749000000</x:v>
      </x:c>
      <x:c r="C108" s="205" t="str">
        <x:v>Finance lease liabilities — current</x:v>
      </x:c>
      <x:c r="D108" s="205"/>
      <x:c r="E108" s="228" t="d">
        <x:v>2026-08-31T00:00:00.000Z</x:v>
      </x:c>
      <x:c r="F108" s="205" t="str">
        <x:v>10-Q</x:v>
      </x:c>
      <x:c r="G108" s="228" t="d">
        <x:v>2026-09-11T00:00:00.000Z</x:v>
      </x:c>
      <x:c r="H108" s="205" t="str">
        <x:v>0001193125-26-389274</x:v>
      </x:c>
      <x:c r="I108" s="205" t="str">
        <x:v>us-gaap:FinanceLeaseLiabilityCurrent</x:v>
      </x:c>
      <x:c r="J108" s="205" t="str">
        <x:v>C_6aa4717d-0551-43f7-9cf4-c8a0049a656e</x:v>
      </x:c>
      <x:c r="K108" s="205" t="n">
        <x:v>6</x:v>
      </x:c>
      <x:c r="L108" s="205" t="str">
        <x:v>-6</x:v>
      </x:c>
      <x:c r="M108" s="205" t="str">
        <x:v>https://www.sec.gov/Archives/edgar/data/1341439/000119312526389274/orcl-20260831.htm</x:v>
      </x:c>
      <x:c r="N108" s="205" t="str">
        <x:v>10-Q Note 6, pp. 12–13</x:v>
      </x:c>
      <x:c r="O108" s="205" t="str"/>
      <x:c r="P108" s="205" t="str">
        <x:v>[]</x:v>
      </x:c>
      <x:c r="Q108" s="205" t="str">
        <x:v>051dd4893fa497f36d99c8a355cbc90107f56e1a628c78e38c76e7dca0d4a6fd</x:v>
      </x:c>
      <x:c r="R108" s="16" t="str">
        <x:v>USD; exact checked instant</x:v>
      </x:c>
    </x:row>
    <x:row r="109" ht="78" customHeight="1">
      <x:c r="A109" s="25" t="str">
        <x:v>Finance lease liabilities — noncurrent</x:v>
      </x:c>
      <x:c r="B109" s="227" t="n">
        <x:v>8436000000</x:v>
      </x:c>
      <x:c r="C109" s="205" t="str">
        <x:v>Finance lease liabilities — noncurrent</x:v>
      </x:c>
      <x:c r="D109" s="205"/>
      <x:c r="E109" s="228" t="d">
        <x:v>2026-08-31T00:00:00.000Z</x:v>
      </x:c>
      <x:c r="F109" s="205" t="str">
        <x:v>10-Q</x:v>
      </x:c>
      <x:c r="G109" s="228" t="d">
        <x:v>2026-09-11T00:00:00.000Z</x:v>
      </x:c>
      <x:c r="H109" s="205" t="str">
        <x:v>0001193125-26-389274</x:v>
      </x:c>
      <x:c r="I109" s="205" t="str">
        <x:v>us-gaap:FinanceLeaseLiabilityNoncurrent</x:v>
      </x:c>
      <x:c r="J109" s="205" t="str">
        <x:v>C_6aa4717d-0551-43f7-9cf4-c8a0049a656e</x:v>
      </x:c>
      <x:c r="K109" s="205" t="n">
        <x:v>6</x:v>
      </x:c>
      <x:c r="L109" s="205" t="str">
        <x:v>-6</x:v>
      </x:c>
      <x:c r="M109" s="205" t="str">
        <x:v>https://www.sec.gov/Archives/edgar/data/1341439/000119312526389274/orcl-20260831.htm</x:v>
      </x:c>
      <x:c r="N109" s="205" t="str">
        <x:v>10-Q Note 6, pp. 12–13</x:v>
      </x:c>
      <x:c r="O109" s="205" t="str"/>
      <x:c r="P109" s="205" t="str">
        <x:v>[]</x:v>
      </x:c>
      <x:c r="Q109" s="205" t="str">
        <x:v>051dd4893fa497f36d99c8a355cbc90107f56e1a628c78e38c76e7dca0d4a6fd</x:v>
      </x:c>
      <x:c r="R109" s="16" t="str">
        <x:v>USD; exact checked instant</x:v>
      </x:c>
    </x:row>
    <x:row r="110" ht="78" customHeight="1">
      <x:c r="A110" s="25" t="str">
        <x:v>Finance lease liabilities — reported total control</x:v>
      </x:c>
      <x:c r="B110" s="227" t="n">
        <x:v>9185000000</x:v>
      </x:c>
      <x:c r="C110" s="205" t="str">
        <x:v>Finance lease liabilities — reported total control</x:v>
      </x:c>
      <x:c r="D110" s="205"/>
      <x:c r="E110" s="228" t="d">
        <x:v>2026-08-31T00:00:00.000Z</x:v>
      </x:c>
      <x:c r="F110" s="205" t="str">
        <x:v>10-Q</x:v>
      </x:c>
      <x:c r="G110" s="228" t="d">
        <x:v>2026-09-11T00:00:00.000Z</x:v>
      </x:c>
      <x:c r="H110" s="205" t="str">
        <x:v>0001193125-26-389274</x:v>
      </x:c>
      <x:c r="I110" s="205" t="str">
        <x:v>us-gaap:FinanceLeaseLiability</x:v>
      </x:c>
      <x:c r="J110" s="205" t="str">
        <x:v>C_6aa4717d-0551-43f7-9cf4-c8a0049a656e</x:v>
      </x:c>
      <x:c r="K110" s="205" t="n">
        <x:v>6</x:v>
      </x:c>
      <x:c r="L110" s="205" t="str">
        <x:v>-6</x:v>
      </x:c>
      <x:c r="M110" s="205" t="str">
        <x:v>https://www.sec.gov/Archives/edgar/data/1341439/000119312526389274/orcl-20260831.htm</x:v>
      </x:c>
      <x:c r="N110" s="205" t="str">
        <x:v>10-Q Note 6, pp. 12–13</x:v>
      </x:c>
      <x:c r="O110" s="205" t="str"/>
      <x:c r="P110" s="205" t="str">
        <x:v>[]</x:v>
      </x:c>
      <x:c r="Q110" s="205" t="str">
        <x:v>051dd4893fa497f36d99c8a355cbc90107f56e1a628c78e38c76e7dca0d4a6fd</x:v>
      </x:c>
      <x:c r="R110" s="16" t="str">
        <x:v>USD; exact checked instant</x:v>
      </x:c>
    </x:row>
    <x:row r="111" ht="78" customHeight="1">
      <x:c r="A111" s="26" t="str">
        <x:v>Leases not yet commenced</x:v>
      </x:c>
      <x:c r="B111" s="229" t="n">
        <x:v>288000000000</x:v>
      </x:c>
      <x:c r="C111" s="206" t="str">
        <x:v>Leases not yet commenced</x:v>
      </x:c>
      <x:c r="D111" s="206"/>
      <x:c r="E111" s="230" t="d">
        <x:v>2026-08-31T00:00:00.000Z</x:v>
      </x:c>
      <x:c r="F111" s="206" t="str">
        <x:v>10-Q</x:v>
      </x:c>
      <x:c r="G111" s="230" t="d">
        <x:v>2026-09-11T00:00:00.000Z</x:v>
      </x:c>
      <x:c r="H111" s="206" t="str">
        <x:v>0001193125-26-389274</x:v>
      </x:c>
      <x:c r="I111" s="206" t="str">
        <x:v>orcl:LesseeOperatingLeaseLeaseNotYetCommencedLeaseCommitments</x:v>
      </x:c>
      <x:c r="J111" s="206" t="str">
        <x:v>C_6aa4717d-0551-43f7-9cf4-c8a0049a656e</x:v>
      </x:c>
      <x:c r="K111" s="206" t="n">
        <x:v>9</x:v>
      </x:c>
      <x:c r="L111" s="206" t="str">
        <x:v>-9</x:v>
      </x:c>
      <x:c r="M111" s="206" t="str">
        <x:v>https://www.sec.gov/Archives/edgar/data/1341439/000119312526389274/orcl-20260831.htm</x:v>
      </x:c>
      <x:c r="N111" s="206" t="str">
        <x:v>10-Q Note 6, p. 13</x:v>
      </x:c>
      <x:c r="O111" s="206" t="str">
        <x:v>Amount reported in rounded billions. Future commitment, not a recognized lease liability. Expected to commence Q2 fiscal 2027–fiscal 2029, with 15–19 year terms. Annual payment timing is Unavailable.</x:v>
      </x:c>
      <x:c r="P111" s="206" t="str">
        <x:v>[]</x:v>
      </x:c>
      <x:c r="Q111" s="206" t="str">
        <x:v>051dd4893fa497f36d99c8a355cbc90107f56e1a628c78e38c76e7dca0d4a6fd</x:v>
      </x:c>
      <x:c r="R111" s="18" t="str">
        <x:v>USD; exact checked instant</x:v>
      </x:c>
    </x:row>
    <x:row r="114" ht="86" customHeight="1">
      <x:c r="A114" s="13" t="str">
        <x:v>Key</x:v>
      </x:c>
      <x:c r="B114" s="219" t="str">
        <x:v>USD millions unless x</x:v>
      </x:c>
      <x:c r="C114" s="219" t="str">
        <x:v>Reported input</x:v>
      </x:c>
      <x:c r="D114" s="219" t="str">
        <x:v>Period start</x:v>
      </x:c>
      <x:c r="E114" s="219" t="str">
        <x:v>Period end / as of</x:v>
      </x:c>
      <x:c r="F114" s="219" t="str">
        <x:v>Form</x:v>
      </x:c>
      <x:c r="G114" s="219" t="str">
        <x:v>Filed</x:v>
      </x:c>
      <x:c r="H114" s="219" t="str">
        <x:v>Accession</x:v>
      </x:c>
      <x:c r="I114" s="219" t="str">
        <x:v>Tag</x:v>
      </x:c>
      <x:c r="J114" s="219" t="str">
        <x:v>Context ID</x:v>
      </x:c>
      <x:c r="K114" s="219" t="str">
        <x:v>Scale</x:v>
      </x:c>
      <x:c r="L114" s="219" t="str">
        <x:v>Decimals</x:v>
      </x:c>
      <x:c r="M114" s="219" t="str">
        <x:v>Source</x:v>
      </x:c>
      <x:c r="N114" s="219" t="str">
        <x:v>Filing location</x:v>
      </x:c>
      <x:c r="O114" s="219" t="str">
        <x:v>Finding / Unavailable reason</x:v>
      </x:c>
      <x:c r="P114" s="219" t="str">
        <x:v>Dimensions</x:v>
      </x:c>
      <x:c r="Q114" s="219" t="str">
        <x:v>Reviewed source SHA256</x:v>
      </x:c>
      <x:c r="R114" s="14" t="str">
        <x:v>Unit and selection rule</x:v>
      </x:c>
    </x:row>
    <x:row r="115" ht="86" customHeight="1">
      <x:c r="A115" s="25" t="str">
        <x:v>Ratio input: Cash and cash equivalents</x:v>
      </x:c>
      <x:c r="B115" s="227" t="n">
        <x:v>36369000000</x:v>
      </x:c>
      <x:c r="C115" s="205" t="str">
        <x:v>Cash and cash equivalents</x:v>
      </x:c>
      <x:c r="D115" s="228"/>
      <x:c r="E115" s="228" t="d">
        <x:v>2026-08-31T00:00:00.000Z</x:v>
      </x:c>
      <x:c r="F115" s="205" t="str">
        <x:v>10-Q</x:v>
      </x:c>
      <x:c r="G115" s="228" t="d">
        <x:v>2026-09-11T00:00:00.000Z</x:v>
      </x:c>
      <x:c r="H115" s="205" t="str">
        <x:v>0001193125-26-389274</x:v>
      </x:c>
      <x:c r="I115" s="205" t="str">
        <x:v>us-gaap:CashAndCashEquivalentsAtCarryingValue</x:v>
      </x:c>
      <x:c r="J115" s="205"/>
      <x:c r="K115" s="205"/>
      <x:c r="L115" s="205"/>
      <x:c r="M115" s="205" t="str">
        <x:v>https://www.sec.gov/Archives/edgar/data/1341439/000119312526389274/orcl-20260831.htm</x:v>
      </x:c>
      <x:c r="N115" s="205" t="str">
        <x:v>Checked balance sheet / cash-flow statement</x:v>
      </x:c>
      <x:c r="O115" s="205" t="str">
        <x:v>USD instant at the balance-sheet date, from the latest original 10-K or 10-Q itself</x:v>
      </x:c>
      <x:c r="P115" s="205" t="str">
        <x:v>[]</x:v>
      </x:c>
      <x:c r="Q115" s="205"/>
      <x:c r="R115" s="16" t="str">
        <x:v>USD</x:v>
      </x:c>
    </x:row>
    <x:row r="116" ht="86" customHeight="1">
      <x:c r="A116" s="25" t="str">
        <x:v>Ratio input: Notes payable and other borrowings, current</x:v>
      </x:c>
      <x:c r="B116" s="227" t="n">
        <x:v>7625000000</x:v>
      </x:c>
      <x:c r="C116" s="205" t="str">
        <x:v>Notes payable and other borrowings, current</x:v>
      </x:c>
      <x:c r="D116" s="228"/>
      <x:c r="E116" s="228" t="d">
        <x:v>2026-08-31T00:00:00.000Z</x:v>
      </x:c>
      <x:c r="F116" s="205" t="str">
        <x:v>10-Q</x:v>
      </x:c>
      <x:c r="G116" s="228" t="d">
        <x:v>2026-09-11T00:00:00.000Z</x:v>
      </x:c>
      <x:c r="H116" s="205" t="str">
        <x:v>0001193125-26-389274</x:v>
      </x:c>
      <x:c r="I116" s="205" t="str">
        <x:v>us-gaap:NotesPayableCurrent</x:v>
      </x:c>
      <x:c r="J116" s="205"/>
      <x:c r="K116" s="205"/>
      <x:c r="L116" s="205"/>
      <x:c r="M116" s="205" t="str">
        <x:v>https://www.sec.gov/Archives/edgar/data/1341439/000119312526389274/orcl-20260831.htm</x:v>
      </x:c>
      <x:c r="N116" s="205" t="str">
        <x:v>Checked balance sheet / cash-flow statement</x:v>
      </x:c>
      <x:c r="O116" s="205" t="str">
        <x:v>USD instant at the balance-sheet date, from the latest original 10-K or 10-Q itself</x:v>
      </x:c>
      <x:c r="P116" s="205" t="str">
        <x:v>[]</x:v>
      </x:c>
      <x:c r="Q116" s="205"/>
      <x:c r="R116" s="16" t="str">
        <x:v>USD</x:v>
      </x:c>
    </x:row>
    <x:row r="117" ht="86" customHeight="1">
      <x:c r="A117" s="25" t="str">
        <x:v>Ratio input: Notes payable and other borrowings, non-current</x:v>
      </x:c>
      <x:c r="B117" s="227" t="n">
        <x:v>117712000000</x:v>
      </x:c>
      <x:c r="C117" s="205" t="str">
        <x:v>Notes payable and other borrowings, non-current</x:v>
      </x:c>
      <x:c r="D117" s="228"/>
      <x:c r="E117" s="228" t="d">
        <x:v>2026-08-31T00:00:00.000Z</x:v>
      </x:c>
      <x:c r="F117" s="205" t="str">
        <x:v>10-Q</x:v>
      </x:c>
      <x:c r="G117" s="228" t="d">
        <x:v>2026-09-11T00:00:00.000Z</x:v>
      </x:c>
      <x:c r="H117" s="205" t="str">
        <x:v>0001193125-26-389274</x:v>
      </x:c>
      <x:c r="I117" s="205" t="str">
        <x:v>us-gaap:LongTermNotesAndLoans</x:v>
      </x:c>
      <x:c r="J117" s="205"/>
      <x:c r="K117" s="205"/>
      <x:c r="L117" s="205"/>
      <x:c r="M117" s="205" t="str">
        <x:v>https://www.sec.gov/Archives/edgar/data/1341439/000119312526389274/orcl-20260831.htm</x:v>
      </x:c>
      <x:c r="N117" s="205" t="str">
        <x:v>Checked balance sheet / cash-flow statement</x:v>
      </x:c>
      <x:c r="O117" s="205" t="str">
        <x:v>USD instant at the balance-sheet date, from the latest original 10-K or 10-Q itself</x:v>
      </x:c>
      <x:c r="P117" s="205" t="str">
        <x:v>[]</x:v>
      </x:c>
      <x:c r="Q117" s="205"/>
      <x:c r="R117" s="16" t="str">
        <x:v>USD</x:v>
      </x:c>
    </x:row>
    <x:row r="118" ht="86" customHeight="1">
      <x:c r="A118" s="25" t="str">
        <x:v>Ratio input: Current liabilities</x:v>
      </x:c>
      <x:c r="B118" s="227" t="n">
        <x:v>47514000000</x:v>
      </x:c>
      <x:c r="C118" s="205" t="str">
        <x:v>Current liabilities</x:v>
      </x:c>
      <x:c r="D118" s="228"/>
      <x:c r="E118" s="228" t="d">
        <x:v>2026-08-31T00:00:00.000Z</x:v>
      </x:c>
      <x:c r="F118" s="205" t="str">
        <x:v>10-Q</x:v>
      </x:c>
      <x:c r="G118" s="228" t="d">
        <x:v>2026-09-11T00:00:00.000Z</x:v>
      </x:c>
      <x:c r="H118" s="205" t="str">
        <x:v>0001193125-26-389274</x:v>
      </x:c>
      <x:c r="I118" s="205" t="str">
        <x:v>us-gaap:LiabilitiesCurrent</x:v>
      </x:c>
      <x:c r="J118" s="205"/>
      <x:c r="K118" s="205"/>
      <x:c r="L118" s="205"/>
      <x:c r="M118" s="205" t="str">
        <x:v>https://www.sec.gov/Archives/edgar/data/1341439/000119312526389274/orcl-20260831.htm</x:v>
      </x:c>
      <x:c r="N118" s="205" t="str">
        <x:v>Checked balance sheet / cash-flow statement</x:v>
      </x:c>
      <x:c r="O118" s="205" t="str">
        <x:v>USD instant at the balance-sheet date, from the latest original 10-K or 10-Q itself</x:v>
      </x:c>
      <x:c r="P118" s="205" t="str">
        <x:v>[]</x:v>
      </x:c>
      <x:c r="Q118" s="205"/>
      <x:c r="R118" s="16" t="str">
        <x:v>USD</x:v>
      </x:c>
    </x:row>
    <x:row r="119" ht="86" customHeight="1">
      <x:c r="A119" s="25" t="str">
        <x:v>Ratio input: Current assets</x:v>
      </x:c>
      <x:c r="B119" s="227" t="n">
        <x:v>55630000000</x:v>
      </x:c>
      <x:c r="C119" s="205" t="str">
        <x:v>Current assets</x:v>
      </x:c>
      <x:c r="D119" s="228"/>
      <x:c r="E119" s="228" t="d">
        <x:v>2026-08-31T00:00:00.000Z</x:v>
      </x:c>
      <x:c r="F119" s="205" t="str">
        <x:v>10-Q</x:v>
      </x:c>
      <x:c r="G119" s="228" t="d">
        <x:v>2026-09-11T00:00:00.000Z</x:v>
      </x:c>
      <x:c r="H119" s="205" t="str">
        <x:v>0001193125-26-389274</x:v>
      </x:c>
      <x:c r="I119" s="205" t="str">
        <x:v>us-gaap:AssetsCurrent</x:v>
      </x:c>
      <x:c r="J119" s="205"/>
      <x:c r="K119" s="205"/>
      <x:c r="L119" s="205"/>
      <x:c r="M119" s="205" t="str">
        <x:v>https://www.sec.gov/Archives/edgar/data/1341439/000119312526389274/orcl-20260831.htm</x:v>
      </x:c>
      <x:c r="N119" s="205" t="str">
        <x:v>Checked balance sheet / cash-flow statement</x:v>
      </x:c>
      <x:c r="O119" s="205" t="str">
        <x:v>USD instant at the balance-sheet date, from the latest original 10-K or 10-Q itself</x:v>
      </x:c>
      <x:c r="P119" s="205" t="str">
        <x:v>[]</x:v>
      </x:c>
      <x:c r="Q119" s="205"/>
      <x:c r="R119" s="16" t="str">
        <x:v>USD</x:v>
      </x:c>
    </x:row>
    <x:row r="120" ht="86" customHeight="1">
      <x:c r="A120" s="25" t="str">
        <x:v>Ratio input: Operating cash flow · fiscal year</x:v>
      </x:c>
      <x:c r="B120" s="227" t="n">
        <x:v>31977000000</x:v>
      </x:c>
      <x:c r="C120" s="205" t="str">
        <x:v>Operating cash flow · fiscal year</x:v>
      </x:c>
      <x:c r="D120" s="228" t="d">
        <x:v>2025-06-01T00:00:00.000Z</x:v>
      </x:c>
      <x:c r="E120" s="228" t="d">
        <x:v>2026-05-31T00:00:00.000Z</x:v>
      </x:c>
      <x:c r="F120" s="205" t="str">
        <x:v>10-K</x:v>
      </x:c>
      <x:c r="G120" s="228" t="d">
        <x:v>2026-06-22T00:00:00.000Z</x:v>
      </x:c>
      <x:c r="H120" s="205" t="str">
        <x:v>0001193125-26-277521</x:v>
      </x:c>
      <x:c r="I120" s="205" t="str">
        <x:v>us-gaap:NetCashProvidedByUsedInOperatingActivities</x:v>
      </x:c>
      <x:c r="J120" s="205" t="str">
        <x:v>C_24317829-d237-4c29-bae3-2e46dd1ae625</x:v>
      </x:c>
      <x:c r="K120" s="205" t="n">
        <x:v>6</x:v>
      </x:c>
      <x:c r="L120" s="205" t="str">
        <x:v>-6</x:v>
      </x:c>
      <x:c r="M120" s="205" t="str">
        <x:v>https://www.sec.gov/Archives/edgar/data/1341439/000119312526277521/orcl-20260531.htm</x:v>
      </x:c>
      <x:c r="N120" s="205" t="str">
        <x:v>Checked balance sheet / cash-flow statement</x:v>
      </x:c>
      <x:c r="O120" s="205" t="str">
        <x:v>Exact tag, USD duration, exact start and end dates, no dimensions</x:v>
      </x:c>
      <x:c r="P120" s="205" t="str">
        <x:v>[]</x:v>
      </x:c>
      <x:c r="Q120" s="205"/>
      <x:c r="R120" s="16" t="str">
        <x:v>USD</x:v>
      </x:c>
    </x:row>
    <x:row r="121" ht="86" customHeight="1">
      <x:c r="A121" s="25" t="str">
        <x:v>Ratio input: Operating cash flow · current year to date</x:v>
      </x:c>
      <x:c r="B121" s="227" t="n">
        <x:v>23103000000</x:v>
      </x:c>
      <x:c r="C121" s="205" t="str">
        <x:v>Operating cash flow · current year to date</x:v>
      </x:c>
      <x:c r="D121" s="228" t="d">
        <x:v>2026-06-01T00:00:00.000Z</x:v>
      </x:c>
      <x:c r="E121" s="228" t="d">
        <x:v>2026-08-31T00:00:00.000Z</x:v>
      </x:c>
      <x:c r="F121" s="205" t="str">
        <x:v>10-Q</x:v>
      </x:c>
      <x:c r="G121" s="228" t="d">
        <x:v>2026-09-11T00:00:00.000Z</x:v>
      </x:c>
      <x:c r="H121" s="205" t="str">
        <x:v>0001193125-26-389274</x:v>
      </x:c>
      <x:c r="I121" s="205" t="str">
        <x:v>us-gaap:NetCashProvidedByUsedInOperatingActivities</x:v>
      </x:c>
      <x:c r="J121" s="205" t="str">
        <x:v>C_f2f9ad85-08df-4e59-8948-bfd9405570de</x:v>
      </x:c>
      <x:c r="K121" s="205" t="n">
        <x:v>6</x:v>
      </x:c>
      <x:c r="L121" s="205" t="str">
        <x:v>-6</x:v>
      </x:c>
      <x:c r="M121" s="205" t="str">
        <x:v>https://www.sec.gov/Archives/edgar/data/1341439/000119312526389274/orcl-20260831.htm</x:v>
      </x:c>
      <x:c r="N121" s="205" t="str">
        <x:v>Checked balance sheet / cash-flow statement</x:v>
      </x:c>
      <x:c r="O121" s="205" t="str">
        <x:v>Exact tag, USD duration, exact start and end dates, no dimensions</x:v>
      </x:c>
      <x:c r="P121" s="205" t="str">
        <x:v>[]</x:v>
      </x:c>
      <x:c r="Q121" s="205"/>
      <x:c r="R121" s="16" t="str">
        <x:v>USD</x:v>
      </x:c>
    </x:row>
    <x:row r="122" ht="86" customHeight="1">
      <x:c r="A122" s="25" t="str">
        <x:v>Ratio input: Operating cash flow · prior year to date</x:v>
      </x:c>
      <x:c r="B122" s="227" t="n">
        <x:v>8140000000</x:v>
      </x:c>
      <x:c r="C122" s="205" t="str">
        <x:v>Operating cash flow · prior year to date</x:v>
      </x:c>
      <x:c r="D122" s="228" t="d">
        <x:v>2025-06-01T00:00:00.000Z</x:v>
      </x:c>
      <x:c r="E122" s="228" t="d">
        <x:v>2025-08-31T00:00:00.000Z</x:v>
      </x:c>
      <x:c r="F122" s="205" t="str">
        <x:v>10-Q</x:v>
      </x:c>
      <x:c r="G122" s="228" t="d">
        <x:v>2026-09-11T00:00:00.000Z</x:v>
      </x:c>
      <x:c r="H122" s="205" t="str">
        <x:v>0001193125-26-389274</x:v>
      </x:c>
      <x:c r="I122" s="205" t="str">
        <x:v>us-gaap:NetCashProvidedByUsedInOperatingActivities</x:v>
      </x:c>
      <x:c r="J122" s="205" t="str">
        <x:v>C_a0bdcecc-b2bf-40f4-8106-f50197737571</x:v>
      </x:c>
      <x:c r="K122" s="205" t="n">
        <x:v>6</x:v>
      </x:c>
      <x:c r="L122" s="205" t="str">
        <x:v>-6</x:v>
      </x:c>
      <x:c r="M122" s="205" t="str">
        <x:v>https://www.sec.gov/Archives/edgar/data/1341439/000119312526389274/orcl-20260831.htm</x:v>
      </x:c>
      <x:c r="N122" s="205" t="str">
        <x:v>Checked balance sheet / cash-flow statement</x:v>
      </x:c>
      <x:c r="O122" s="205" t="str">
        <x:v>Exact tag, USD duration, exact start and end dates, no dimensions</x:v>
      </x:c>
      <x:c r="P122" s="205" t="str">
        <x:v>[]</x:v>
      </x:c>
      <x:c r="Q122" s="205"/>
      <x:c r="R122" s="16" t="str">
        <x:v>USD</x:v>
      </x:c>
    </x:row>
    <x:row r="123" ht="86" customHeight="1">
      <x:c r="A123" s="25" t="str">
        <x:v>Ratio input: Capital expenditures · fiscal year</x:v>
      </x:c>
      <x:c r="B123" s="227" t="n">
        <x:v>55663000000</x:v>
      </x:c>
      <x:c r="C123" s="205" t="str">
        <x:v>Capital expenditures · fiscal year</x:v>
      </x:c>
      <x:c r="D123" s="228" t="d">
        <x:v>2025-06-01T00:00:00.000Z</x:v>
      </x:c>
      <x:c r="E123" s="228" t="d">
        <x:v>2026-05-31T00:00:00.000Z</x:v>
      </x:c>
      <x:c r="F123" s="205" t="str">
        <x:v>10-K</x:v>
      </x:c>
      <x:c r="G123" s="228" t="d">
        <x:v>2026-06-22T00:00:00.000Z</x:v>
      </x:c>
      <x:c r="H123" s="205" t="str">
        <x:v>0001193125-26-277521</x:v>
      </x:c>
      <x:c r="I123" s="205" t="str">
        <x:v>us-gaap:PaymentsToAcquirePropertyPlantAndEquipment</x:v>
      </x:c>
      <x:c r="J123" s="205" t="str">
        <x:v>C_24317829-d237-4c29-bae3-2e46dd1ae625</x:v>
      </x:c>
      <x:c r="K123" s="205" t="n">
        <x:v>6</x:v>
      </x:c>
      <x:c r="L123" s="205" t="str">
        <x:v>-6</x:v>
      </x:c>
      <x:c r="M123" s="205" t="str">
        <x:v>https://www.sec.gov/Archives/edgar/data/1341439/000119312526277521/orcl-20260531.htm</x:v>
      </x:c>
      <x:c r="N123" s="205" t="str">
        <x:v>Checked balance sheet / cash-flow statement</x:v>
      </x:c>
      <x:c r="O123" s="205" t="str">
        <x:v>Exact tag, USD duration, exact start and end dates, no dimensions</x:v>
      </x:c>
      <x:c r="P123" s="205" t="str">
        <x:v>[]</x:v>
      </x:c>
      <x:c r="Q123" s="205"/>
      <x:c r="R123" s="16" t="str">
        <x:v>USD</x:v>
      </x:c>
    </x:row>
    <x:row r="124" ht="86" customHeight="1">
      <x:c r="A124" s="25" t="str">
        <x:v>Ratio input: Capital expenditures · current year to date</x:v>
      </x:c>
      <x:c r="B124" s="227" t="n">
        <x:v>28499000000</x:v>
      </x:c>
      <x:c r="C124" s="205" t="str">
        <x:v>Capital expenditures · current year to date</x:v>
      </x:c>
      <x:c r="D124" s="228" t="d">
        <x:v>2026-06-01T00:00:00.000Z</x:v>
      </x:c>
      <x:c r="E124" s="228" t="d">
        <x:v>2026-08-31T00:00:00.000Z</x:v>
      </x:c>
      <x:c r="F124" s="205" t="str">
        <x:v>10-Q</x:v>
      </x:c>
      <x:c r="G124" s="228" t="d">
        <x:v>2026-09-11T00:00:00.000Z</x:v>
      </x:c>
      <x:c r="H124" s="205" t="str">
        <x:v>0001193125-26-389274</x:v>
      </x:c>
      <x:c r="I124" s="205" t="str">
        <x:v>us-gaap:PaymentsToAcquirePropertyPlantAndEquipment</x:v>
      </x:c>
      <x:c r="J124" s="205" t="str">
        <x:v>C_f2f9ad85-08df-4e59-8948-bfd9405570de</x:v>
      </x:c>
      <x:c r="K124" s="205" t="n">
        <x:v>6</x:v>
      </x:c>
      <x:c r="L124" s="205" t="str">
        <x:v>-6</x:v>
      </x:c>
      <x:c r="M124" s="205" t="str">
        <x:v>https://www.sec.gov/Archives/edgar/data/1341439/000119312526389274/orcl-20260831.htm</x:v>
      </x:c>
      <x:c r="N124" s="205" t="str">
        <x:v>Checked balance sheet / cash-flow statement</x:v>
      </x:c>
      <x:c r="O124" s="205" t="str">
        <x:v>Exact tag, USD duration, exact start and end dates, no dimensions</x:v>
      </x:c>
      <x:c r="P124" s="205" t="str">
        <x:v>[]</x:v>
      </x:c>
      <x:c r="Q124" s="205"/>
      <x:c r="R124" s="16" t="str">
        <x:v>USD</x:v>
      </x:c>
    </x:row>
    <x:row r="125" ht="86" customHeight="1">
      <x:c r="A125" s="26" t="str">
        <x:v>Ratio input: Capital expenditures · prior year to date</x:v>
      </x:c>
      <x:c r="B125" s="229" t="n">
        <x:v>8502000000</x:v>
      </x:c>
      <x:c r="C125" s="206" t="str">
        <x:v>Capital expenditures · prior year to date</x:v>
      </x:c>
      <x:c r="D125" s="230" t="d">
        <x:v>2025-06-01T00:00:00.000Z</x:v>
      </x:c>
      <x:c r="E125" s="230" t="d">
        <x:v>2025-08-31T00:00:00.000Z</x:v>
      </x:c>
      <x:c r="F125" s="206" t="str">
        <x:v>10-Q</x:v>
      </x:c>
      <x:c r="G125" s="230" t="d">
        <x:v>2026-09-11T00:00:00.000Z</x:v>
      </x:c>
      <x:c r="H125" s="206" t="str">
        <x:v>0001193125-26-389274</x:v>
      </x:c>
      <x:c r="I125" s="206" t="str">
        <x:v>us-gaap:PaymentsToAcquirePropertyPlantAndEquipment</x:v>
      </x:c>
      <x:c r="J125" s="206" t="str">
        <x:v>C_a0bdcecc-b2bf-40f4-8106-f50197737571</x:v>
      </x:c>
      <x:c r="K125" s="206" t="n">
        <x:v>6</x:v>
      </x:c>
      <x:c r="L125" s="206" t="str">
        <x:v>-6</x:v>
      </x:c>
      <x:c r="M125" s="206" t="str">
        <x:v>https://www.sec.gov/Archives/edgar/data/1341439/000119312526389274/orcl-20260831.htm</x:v>
      </x:c>
      <x:c r="N125" s="206" t="str">
        <x:v>Checked balance sheet / cash-flow statement</x:v>
      </x:c>
      <x:c r="O125" s="206" t="str">
        <x:v>Exact tag, USD duration, exact start and end dates, no dimensions</x:v>
      </x:c>
      <x:c r="P125" s="206" t="str">
        <x:v>[]</x:v>
      </x:c>
      <x:c r="Q125" s="206"/>
      <x:c r="R125" s="18" t="str">
        <x:v>USD</x:v>
      </x:c>
    </x:row>
    <x:row r="128" ht="70" customHeight="1">
      <x:c r="A128" s="13" t="str">
        <x:v>Key</x:v>
      </x:c>
      <x:c r="B128" s="219" t="str">
        <x:v>USD millions unless x</x:v>
      </x:c>
      <x:c r="C128" s="219" t="str">
        <x:v>Reported input</x:v>
      </x:c>
      <x:c r="D128" s="219" t="str">
        <x:v>Period start</x:v>
      </x:c>
      <x:c r="E128" s="219" t="str">
        <x:v>Period end / as of</x:v>
      </x:c>
      <x:c r="F128" s="219" t="str">
        <x:v>Form</x:v>
      </x:c>
      <x:c r="G128" s="219" t="str">
        <x:v>Filed</x:v>
      </x:c>
      <x:c r="H128" s="219" t="str">
        <x:v>Accession</x:v>
      </x:c>
      <x:c r="I128" s="219" t="str">
        <x:v>Tag</x:v>
      </x:c>
      <x:c r="J128" s="219" t="str">
        <x:v>Context ID</x:v>
      </x:c>
      <x:c r="K128" s="219" t="str">
        <x:v>Scale</x:v>
      </x:c>
      <x:c r="L128" s="219" t="str">
        <x:v>Decimals</x:v>
      </x:c>
      <x:c r="M128" s="219" t="str">
        <x:v>Source</x:v>
      </x:c>
      <x:c r="N128" s="219" t="str">
        <x:v>Filing location</x:v>
      </x:c>
      <x:c r="O128" s="219" t="str">
        <x:v>Finding / Unavailable reason</x:v>
      </x:c>
      <x:c r="P128" s="219" t="str">
        <x:v>Dimensions</x:v>
      </x:c>
      <x:c r="Q128" s="219" t="str">
        <x:v>Reviewed source SHA256</x:v>
      </x:c>
      <x:c r="R128" s="14" t="str">
        <x:v>Unit and selection rule</x:v>
      </x:c>
    </x:row>
    <x:row r="129" ht="70" customHeight="1">
      <x:c r="A129" s="25" t="str">
        <x:v>Cash and cash equivalents</x:v>
      </x:c>
      <x:c r="B129" s="227" t="n">
        <x:v>31289000000</x:v>
      </x:c>
      <x:c r="C129" s="205" t="str">
        <x:v>Cash and cash equivalents</x:v>
      </x:c>
      <x:c r="D129" s="228"/>
      <x:c r="E129" s="228" t="d">
        <x:v>2026-05-31T00:00:00.000Z</x:v>
      </x:c>
      <x:c r="F129" s="205" t="str">
        <x:v>10-K</x:v>
      </x:c>
      <x:c r="G129" s="228" t="d">
        <x:v>2026-06-22T00:00:00.000Z</x:v>
      </x:c>
      <x:c r="H129" s="205" t="str">
        <x:v>0001193125-26-277521</x:v>
      </x:c>
      <x:c r="I129" s="205" t="str">
        <x:v>us-gaap:CashAndCashEquivalentsAtCarryingValue</x:v>
      </x:c>
      <x:c r="J129" s="205" t="str">
        <x:v>C_f62bade6-47e1-4441-9bb3-1e534300c2f2</x:v>
      </x:c>
      <x:c r="K129" s="205" t="n">
        <x:v>6</x:v>
      </x:c>
      <x:c r="L129" s="205" t="str">
        <x:v>-6</x:v>
      </x:c>
      <x:c r="M129" s="205" t="str">
        <x:v>https://www.sec.gov/Archives/edgar/data/1341439/000119312526277521/orcl-20260531.htm</x:v>
      </x:c>
      <x:c r="N129" s="205" t="str">
        <x:v>10-K balance sheet p. 64; cash/restricted cash policy p. 70</x:v>
      </x:c>
      <x:c r="O129" s="205" t="str">
        <x:v>USD instant at the balance-sheet date, from the latest original 10-K or 10-Q itself</x:v>
      </x:c>
      <x:c r="P129" s="205" t="str">
        <x:v>[]</x:v>
      </x:c>
      <x:c r="Q129" s="205" t="str">
        <x:v>61a353e222f961e516bb3e8eed024a5245cfadbf30e3cc16a4a520129f1bdf63</x:v>
      </x:c>
      <x:c r="R129" s="16" t="str">
        <x:v>USD</x:v>
      </x:c>
    </x:row>
    <x:row r="130" ht="70" customHeight="1">
      <x:c r="A130" s="25" t="str">
        <x:v>Current assets</x:v>
      </x:c>
      <x:c r="B130" s="227" t="n">
        <x:v>46567000000</x:v>
      </x:c>
      <x:c r="C130" s="205" t="str">
        <x:v>Current assets</x:v>
      </x:c>
      <x:c r="D130" s="228"/>
      <x:c r="E130" s="228" t="d">
        <x:v>2026-05-31T00:00:00.000Z</x:v>
      </x:c>
      <x:c r="F130" s="205" t="str">
        <x:v>10-K</x:v>
      </x:c>
      <x:c r="G130" s="228" t="d">
        <x:v>2026-06-22T00:00:00.000Z</x:v>
      </x:c>
      <x:c r="H130" s="205" t="str">
        <x:v>0001193125-26-277521</x:v>
      </x:c>
      <x:c r="I130" s="205" t="str">
        <x:v>us-gaap:AssetsCurrent</x:v>
      </x:c>
      <x:c r="J130" s="205" t="str">
        <x:v>C_f62bade6-47e1-4441-9bb3-1e534300c2f2</x:v>
      </x:c>
      <x:c r="K130" s="205" t="n">
        <x:v>6</x:v>
      </x:c>
      <x:c r="L130" s="205" t="str">
        <x:v>-6</x:v>
      </x:c>
      <x:c r="M130" s="205" t="str">
        <x:v>https://www.sec.gov/Archives/edgar/data/1341439/000119312526277521/orcl-20260531.htm</x:v>
      </x:c>
      <x:c r="N130" s="205" t="str">
        <x:v>10-K balance sheet p. 64; cash/restricted cash policy p. 70</x:v>
      </x:c>
      <x:c r="O130" s="205" t="str">
        <x:v>USD instant at the balance-sheet date, from the latest original 10-K or 10-Q itself</x:v>
      </x:c>
      <x:c r="P130" s="205" t="str">
        <x:v>[]</x:v>
      </x:c>
      <x:c r="Q130" s="205" t="str">
        <x:v>61a353e222f961e516bb3e8eed024a5245cfadbf30e3cc16a4a520129f1bdf63</x:v>
      </x:c>
      <x:c r="R130" s="16" t="str">
        <x:v>USD</x:v>
      </x:c>
    </x:row>
    <x:row r="131" ht="70" customHeight="1">
      <x:c r="A131" s="25" t="str">
        <x:v>Current liabilities</x:v>
      </x:c>
      <x:c r="B131" s="227" t="n">
        <x:v>41764000000</x:v>
      </x:c>
      <x:c r="C131" s="205" t="str">
        <x:v>Current liabilities</x:v>
      </x:c>
      <x:c r="D131" s="228"/>
      <x:c r="E131" s="228" t="d">
        <x:v>2026-05-31T00:00:00.000Z</x:v>
      </x:c>
      <x:c r="F131" s="205" t="str">
        <x:v>10-K</x:v>
      </x:c>
      <x:c r="G131" s="228" t="d">
        <x:v>2026-06-22T00:00:00.000Z</x:v>
      </x:c>
      <x:c r="H131" s="205" t="str">
        <x:v>0001193125-26-277521</x:v>
      </x:c>
      <x:c r="I131" s="205" t="str">
        <x:v>us-gaap:LiabilitiesCurrent</x:v>
      </x:c>
      <x:c r="J131" s="205" t="str">
        <x:v>C_f62bade6-47e1-4441-9bb3-1e534300c2f2</x:v>
      </x:c>
      <x:c r="K131" s="205" t="n">
        <x:v>6</x:v>
      </x:c>
      <x:c r="L131" s="205" t="str">
        <x:v>-6</x:v>
      </x:c>
      <x:c r="M131" s="205" t="str">
        <x:v>https://www.sec.gov/Archives/edgar/data/1341439/000119312526277521/orcl-20260531.htm</x:v>
      </x:c>
      <x:c r="N131" s="205" t="str">
        <x:v>10-K balance sheet p. 64; cash/restricted cash policy p. 70</x:v>
      </x:c>
      <x:c r="O131" s="205" t="str">
        <x:v>USD instant at the balance-sheet date, from the latest original 10-K or 10-Q itself</x:v>
      </x:c>
      <x:c r="P131" s="205" t="str">
        <x:v>[]</x:v>
      </x:c>
      <x:c r="Q131" s="205" t="str">
        <x:v>61a353e222f961e516bb3e8eed024a5245cfadbf30e3cc16a4a520129f1bdf63</x:v>
      </x:c>
      <x:c r="R131" s="16" t="str">
        <x:v>USD</x:v>
      </x:c>
    </x:row>
    <x:row r="132" ht="70" customHeight="1">
      <x:c r="A132" s="25" t="str">
        <x:v>Notes payable and other borrowings, current</x:v>
      </x:c>
      <x:c r="B132" s="227" t="n">
        <x:v>7199000000</x:v>
      </x:c>
      <x:c r="C132" s="205" t="str">
        <x:v>Notes payable and other borrowings, current</x:v>
      </x:c>
      <x:c r="D132" s="228"/>
      <x:c r="E132" s="228" t="d">
        <x:v>2026-05-31T00:00:00.000Z</x:v>
      </x:c>
      <x:c r="F132" s="205" t="str">
        <x:v>10-K</x:v>
      </x:c>
      <x:c r="G132" s="228" t="d">
        <x:v>2026-06-22T00:00:00.000Z</x:v>
      </x:c>
      <x:c r="H132" s="205" t="str">
        <x:v>0001193125-26-277521</x:v>
      </x:c>
      <x:c r="I132" s="205" t="str">
        <x:v>us-gaap:NotesPayableCurrent</x:v>
      </x:c>
      <x:c r="J132" s="205" t="str">
        <x:v>C_f62bade6-47e1-4441-9bb3-1e534300c2f2</x:v>
      </x:c>
      <x:c r="K132" s="205" t="n">
        <x:v>6</x:v>
      </x:c>
      <x:c r="L132" s="205" t="str">
        <x:v>-6</x:v>
      </x:c>
      <x:c r="M132" s="205" t="str">
        <x:v>https://www.sec.gov/Archives/edgar/data/1341439/000119312526277521/orcl-20260531.htm</x:v>
      </x:c>
      <x:c r="N132" s="205" t="str">
        <x:v>10-K balance sheet p. 64; cash/restricted cash policy p. 70</x:v>
      </x:c>
      <x:c r="O132" s="205" t="str">
        <x:v>USD instant at the balance-sheet date, from the latest original 10-K or 10-Q itself</x:v>
      </x:c>
      <x:c r="P132" s="205" t="str">
        <x:v>[]</x:v>
      </x:c>
      <x:c r="Q132" s="205" t="str">
        <x:v>61a353e222f961e516bb3e8eed024a5245cfadbf30e3cc16a4a520129f1bdf63</x:v>
      </x:c>
      <x:c r="R132" s="16" t="str">
        <x:v>USD</x:v>
      </x:c>
    </x:row>
    <x:row r="133" ht="70" customHeight="1">
      <x:c r="A133" s="25" t="str">
        <x:v>Notes payable and other borrowings, non-current</x:v>
      </x:c>
      <x:c r="B133" s="227" t="n">
        <x:v>122342000000</x:v>
      </x:c>
      <x:c r="C133" s="205" t="str">
        <x:v>Notes payable and other borrowings, non-current</x:v>
      </x:c>
      <x:c r="D133" s="228"/>
      <x:c r="E133" s="228" t="d">
        <x:v>2026-05-31T00:00:00.000Z</x:v>
      </x:c>
      <x:c r="F133" s="205" t="str">
        <x:v>10-K</x:v>
      </x:c>
      <x:c r="G133" s="228" t="d">
        <x:v>2026-06-22T00:00:00.000Z</x:v>
      </x:c>
      <x:c r="H133" s="205" t="str">
        <x:v>0001193125-26-277521</x:v>
      </x:c>
      <x:c r="I133" s="205" t="str">
        <x:v>us-gaap:LongTermNotesAndLoans</x:v>
      </x:c>
      <x:c r="J133" s="205" t="str">
        <x:v>C_f62bade6-47e1-4441-9bb3-1e534300c2f2</x:v>
      </x:c>
      <x:c r="K133" s="205" t="n">
        <x:v>6</x:v>
      </x:c>
      <x:c r="L133" s="205" t="str">
        <x:v>-6</x:v>
      </x:c>
      <x:c r="M133" s="205" t="str">
        <x:v>https://www.sec.gov/Archives/edgar/data/1341439/000119312526277521/orcl-20260531.htm</x:v>
      </x:c>
      <x:c r="N133" s="205" t="str">
        <x:v>10-K balance sheet p. 64; cash/restricted cash policy p. 70</x:v>
      </x:c>
      <x:c r="O133" s="205" t="str">
        <x:v>USD instant at the balance-sheet date, from the latest original 10-K or 10-Q itself</x:v>
      </x:c>
      <x:c r="P133" s="205" t="str">
        <x:v>[]</x:v>
      </x:c>
      <x:c r="Q133" s="205" t="str">
        <x:v>61a353e222f961e516bb3e8eed024a5245cfadbf30e3cc16a4a520129f1bdf63</x:v>
      </x:c>
      <x:c r="R133" s="16" t="str">
        <x:v>USD</x:v>
      </x:c>
    </x:row>
    <x:row r="134" ht="70" customHeight="1">
      <x:c r="A134" s="25" t="str">
        <x:v>Operating cash flow · fiscal year</x:v>
      </x:c>
      <x:c r="B134" s="227" t="n">
        <x:v>31977000000</x:v>
      </x:c>
      <x:c r="C134" s="205" t="str">
        <x:v>Operating cash flow · fiscal year</x:v>
      </x:c>
      <x:c r="D134" s="228" t="d">
        <x:v>2025-06-01T00:00:00.000Z</x:v>
      </x:c>
      <x:c r="E134" s="228" t="d">
        <x:v>2026-05-31T00:00:00.000Z</x:v>
      </x:c>
      <x:c r="F134" s="205" t="str">
        <x:v>10-K</x:v>
      </x:c>
      <x:c r="G134" s="228" t="d">
        <x:v>2026-06-22T00:00:00.000Z</x:v>
      </x:c>
      <x:c r="H134" s="205" t="str">
        <x:v>0001193125-26-277521</x:v>
      </x:c>
      <x:c r="I134" s="205" t="str">
        <x:v>us-gaap:NetCashProvidedByUsedInOperatingActivities</x:v>
      </x:c>
      <x:c r="J134" s="205" t="str">
        <x:v>C_24317829-d237-4c29-bae3-2e46dd1ae625</x:v>
      </x:c>
      <x:c r="K134" s="205" t="n">
        <x:v>6</x:v>
      </x:c>
      <x:c r="L134" s="205" t="str">
        <x:v>-6</x:v>
      </x:c>
      <x:c r="M134" s="205" t="str">
        <x:v>https://www.sec.gov/Archives/edgar/data/1341439/000119312526277521/orcl-20260531.htm</x:v>
      </x:c>
      <x:c r="N134" s="205" t="str">
        <x:v>Annual cash-flow statement</x:v>
      </x:c>
      <x:c r="O134" s="205" t="str">
        <x:v>Exact tag, USD duration, exact start and end dates, no dimensions</x:v>
      </x:c>
      <x:c r="P134" s="205" t="str">
        <x:v>[]</x:v>
      </x:c>
      <x:c r="Q134" s="205" t="str"/>
      <x:c r="R134" s="16" t="str">
        <x:v>USD</x:v>
      </x:c>
    </x:row>
    <x:row r="135" ht="70" customHeight="1">
      <x:c r="A135" s="26" t="str">
        <x:v>Capital expenditures · fiscal year</x:v>
      </x:c>
      <x:c r="B135" s="229" t="n">
        <x:v>55663000000</x:v>
      </x:c>
      <x:c r="C135" s="206" t="str">
        <x:v>Capital expenditures · fiscal year</x:v>
      </x:c>
      <x:c r="D135" s="230" t="d">
        <x:v>2025-06-01T00:00:00.000Z</x:v>
      </x:c>
      <x:c r="E135" s="230" t="d">
        <x:v>2026-05-31T00:00:00.000Z</x:v>
      </x:c>
      <x:c r="F135" s="206" t="str">
        <x:v>10-K</x:v>
      </x:c>
      <x:c r="G135" s="230" t="d">
        <x:v>2026-06-22T00:00:00.000Z</x:v>
      </x:c>
      <x:c r="H135" s="206" t="str">
        <x:v>0001193125-26-277521</x:v>
      </x:c>
      <x:c r="I135" s="206" t="str">
        <x:v>us-gaap:PaymentsToAcquirePropertyPlantAndEquipment</x:v>
      </x:c>
      <x:c r="J135" s="206" t="str">
        <x:v>C_24317829-d237-4c29-bae3-2e46dd1ae625</x:v>
      </x:c>
      <x:c r="K135" s="206" t="n">
        <x:v>6</x:v>
      </x:c>
      <x:c r="L135" s="206" t="str">
        <x:v>-6</x:v>
      </x:c>
      <x:c r="M135" s="206" t="str">
        <x:v>https://www.sec.gov/Archives/edgar/data/1341439/000119312526277521/orcl-20260531.htm</x:v>
      </x:c>
      <x:c r="N135" s="206" t="str">
        <x:v>Annual cash-flow statement</x:v>
      </x:c>
      <x:c r="O135" s="206" t="str">
        <x:v>Exact tag, USD duration, exact start and end dates, no dimensions</x:v>
      </x:c>
      <x:c r="P135" s="206" t="str">
        <x:v>[]</x:v>
      </x:c>
      <x:c r="Q135" s="206" t="str"/>
      <x:c r="R135" s="18" t="str">
        <x:v>USD</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3" hidden="0" customWidth="1"/>
    <x:col min="2" max="2" width="100" hidden="0" customWidth="1"/>
    <x:col min="3" max="3" width="65" hidden="0" customWidth="1"/>
  </x:cols>
  <x:sheetData>
    <x:row r="1" ht="60" customHeight="1">
      <x:c r="A1" s="142" t="str">
        <x:v>Topic</x:v>
      </x:c>
      <x:c r="B1" s="152" t="str">
        <x:v>Explanation</x:v>
      </x:c>
      <x:c r="C1" s="143" t="str">
        <x:v>Source</x:v>
      </x:c>
    </x:row>
    <x:row r="2" ht="85" customHeight="1">
      <x:c r="A2" s="89" t="str">
        <x:v>Snapshot</x:v>
      </x:c>
      <x:c r="B2" s="167" t="str">
        <x:v>Cash review checked October 15, 2026; interest, funding interpretation and index consistency checked October 16. Cash flows remain June 1–August 31, 2026. Not live data or investment advice.</x:v>
      </x:c>
      <x:c r="C2" s="169"/>
    </x:row>
    <x:row r="3" ht="60" customHeight="1">
      <x:c r="A3" s="89" t="str">
        <x:v>Workbook</x:v>
      </x:c>
      <x:c r="B3" s="167" t="str">
        <x:v>Repayment review pairs obligations with resource evidence and explicit gaps. Cash analysis calculates historical contributions. Payment dates keeps contracts on their own bases. Data retains reported inputs and sources.</x:v>
      </x:c>
      <x:c r="C3" s="169"/>
    </x:row>
    <x:row r="4" ht="60" customHeight="1">
      <x:c r="A4" s="89" t="str">
        <x:v>Colors and units</x:v>
      </x:c>
      <x:c r="B4" s="167" t="str">
        <x:v>Arial 10. Dollar inputs are full USD displayed in millions. Blue inputs, green cross-sheet links, black same-sheet calculations. OCF less specified prepayments stays black because it subtracts two cells on Cash analysis. A dash is a reported zero; blank capacity is Unavailable.</x:v>
      </x:c>
      <x:c r="C4" s="169"/>
    </x:row>
    <x:row r="5" ht="60" customHeight="1">
      <x:c r="A5" s="89" t="str">
        <x:v>Missing inputs</x:v>
      </x:c>
      <x:c r="B5" s="167" t="str">
        <x:v>A missing numeric input produces #N/A in dependent calculations rather than zero. Data is a frozen source record, not forecast assumptions.</x:v>
      </x:c>
      <x:c r="C5" s="169"/>
    </x:row>
    <x:row r="6" ht="60" customHeight="1">
      <x:c r="A6" s="89" t="str">
        <x:v>Cash basis</x:v>
      </x:c>
      <x:c r="B6" s="167" t="str">
        <x:v>Ending total cash of 38.934B includes restricted cash. Balance-sheet cash is 36.369B; the 2.565B difference is derived from these exact rounded-million totals.</x:v>
      </x:c>
      <x:c r="C6" s="169" t="str">
        <x:v>https://www.sec.gov/Archives/edgar/data/1341439/000119312526389274/orcl-20260831.htm</x:v>
      </x:c>
    </x:row>
    <x:row r="7" ht="60" customHeight="1">
      <x:c r="A7" s="89" t="str">
        <x:v>Customer prepayments</x:v>
      </x:c>
      <x:c r="B7" s="167" t="str">
        <x:v>11.363B is the specified cash-flow contribution within OCF. Subtracting it does not isolate recurring cash flow or remove future service costs.</x:v>
      </x:c>
      <x:c r="C7" s="169" t="str">
        <x:v>https://www.sec.gov/Archives/edgar/data/1341439/000119312526389274/orcl-20260831.htm</x:v>
      </x:c>
    </x:row>
    <x:row r="8" ht="60" customHeight="1">
      <x:c r="A8" s="89" t="str">
        <x:v>Commercial paper</x:v>
      </x:c>
      <x:c r="B8" s="167" t="str">
        <x:v>Cash-flow CP repayments show zero; MD&amp;A describes about 1.1B. Grouped debt repayments of 4.202B are counted once; classification is unresolved.</x:v>
      </x:c>
      <x:c r="C8" s="169" t="str">
        <x:v>https://www.sec.gov/Archives/edgar/data/1341439/000119312526389274/orcl-20260831.htm</x:v>
      </x:c>
    </x:row>
    <x:row r="9" ht="60" customHeight="1">
      <x:c r="A9" s="89" t="str">
        <x:v>Agreement review</x:v>
      </x:c>
      <x:c r="B9" s="167" t="str">
        <x:v>Draws require accurate representations and no default. Commitments can change or terminate. Extensions require lender consent and conditions. The covenant uses contract-defined EBITDA and cash interest net of cash interest income, including specified adjustments. A generic operating-income/interest ratio cannot establish compliance. August drawn amounts, drawable capacity and covenant headroom are Unavailable. The May 31 10-K reports no drawings and compliance then. Commercial-paper capacity is not added to the revolver.</x:v>
      </x:c>
      <x:c r="C9" s="169" t="str">
        <x:v>https://www.sec.gov/Archives/edgar/data/1341439/000119312526101045/orcl-ex10_17.htm</x:v>
      </x:c>
    </x:row>
    <x:row r="10" ht="60" customHeight="1">
      <x:c r="A10" s="89" t="str">
        <x:v>Agreement definitions</x:v>
      </x:c>
      <x:c r="B10" s="167" t="str">
        <x:v>Contract EBITDA includes specified addbacks and exclusions. Cash interest includes finance-lease interest and specified swap costs, net of cash interest income. Generic ratios do not establish compliance.</x:v>
      </x:c>
      <x:c r="C10" s="169" t="str">
        <x:v>https://www.sec.gov/Archives/edgar/data/1341439/000119312526101045/orcl-ex10_17.htm</x:v>
      </x:c>
    </x:row>
    <x:row r="11" ht="60" customHeight="1">
      <x:c r="A11" s="89" t="str">
        <x:v>8-K event Sep 10, filed Sep 10</x:v>
      </x:c>
      <x:c r="B11" s="167" t="str">
        <x:v>Accession 0001193125-26-387905, main document and Ex.99.1 checked. Reports the same quarter equity program and dividends, not another equity inflow or later borrowing.</x:v>
      </x:c>
      <x:c r="C11" s="169" t="str">
        <x:v>https://www.sec.gov/Archives/edgar/data/1341439/000119312526387905/orcl-ex99_1.htm</x:v>
      </x:c>
    </x:row>
    <x:row r="12" ht="60" customHeight="1">
      <x:c r="A12" s="89" t="str">
        <x:v>8-K event Sep 12, filed Sep 14</x:v>
      </x:c>
      <x:c r="B12" s="167" t="str">
        <x:v>Accession 0001193125-26-389753, main document and Ex.99.1 checked. Insider trading-plan cancellation; no corporate financing event identified.</x:v>
      </x:c>
      <x:c r="C12" s="169" t="str">
        <x:v>https://www.sec.gov/Archives/edgar/data/1341439/000119312526389753/d20034dex991.htm</x:v>
      </x:c>
    </x:row>
    <x:row r="13" ht="115" customHeight="1">
      <x:c r="A13" s="89" t="str">
        <x:v>Later filing scope</x:v>
      </x:c>
      <x:c r="B13" s="167" t="str">
        <x:v>SEC financing-candidate index checked through October 15, 2026; only the two September 8-Ks are listed and their documents/exhibits were reviewed. Later or mismatched filings remain Not checked.</x:v>
      </x:c>
      <x:c r="C13" s="169"/>
    </x:row>
    <x:row r="14" ht="115" customHeight="1">
      <x:c r="A14" s="89" t="str">
        <x:v>Repayment limits</x:v>
      </x:c>
      <x:c r="B14" s="167" t="str">
        <x:v>Remaining August debt principal dates, drawable credit and future operating cash generation are Unavailable. No overall future repayment surplus or shortfall can be established.</x:v>
      </x:c>
      <x:c r="C14" s="169"/>
    </x:row>
    <x:row r="15" ht="115" customHeight="1">
      <x:c r="A15" s="89" t="str">
        <x:v>Revolver audit</x:v>
      </x:c>
      <x:c r="B15" s="167" t="str">
        <x:v>May 31 undrawn commitment is $10B. Actual drawable capacity is Unavailable at every reviewed date. No saved later disclosure establishes a new amount. Commercial-paper program size is not added to revolver capacity or automatically deducted from it. 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C15" s="169"/>
    </x:row>
    <x:row r="16" ht="60" customHeight="1">
      <x:c r="A16" s="89" t="str">
        <x:v>Revolver arithmetic</x:v>
      </x:c>
      <x:c r="B16" s="167" t="str">
        <x:v>May 31 undrawn commitment = reported commitment less outstanding advances. This is not a verified drawable amount. March 6 and August 31 undrawn cells stay blank because advances or the current commitment are not established.</x:v>
      </x:c>
      <x:c r="C16" s="169"/>
    </x:row>
    <x:row r="17" ht="115" customHeight="1">
      <x:c r="A17" s="89" t="str">
        <x:v>Historical interest coverage</x:v>
      </x:c>
      <x:c r="B17" s="167" t="str">
        <x:v>TTM reported operating income / TTM reported Interest expense. FY2026 + Q1 FY2027 - Q1 FY2026. Reported operating income is used without adjusted earnings addbacks. This is a historical accrual measure, not future repayment coverage.</x:v>
      </x:c>
      <x:c r="C17" s="169" t="str">
        <x:v>https://github.com/jackconnolly1000-ux/sec-filing-research-terminal/blob/main/docs/oracle_interest_coverage.md</x:v>
      </x:c>
    </x:row>
    <x:row r="18" ht="115" customHeight="1">
      <x:c r="A18" s="89" t="str">
        <x:v>Interest capitalization basis</x:v>
      </x:c>
      <x:c r="B18" s="167" t="str">
        <x:v>Reported interest expense before any interest-income offset. The saved 10-K and 10-Q do not state its capitalized-interest basis. Capitalized interest and total interest incurred are Unavailable; neither is assumed zero or added to or subtracted from expense.</x:v>
      </x:c>
      <x:c r="C18" s="169" t="str">
        <x:v>https://www.sec.gov/Archives/edgar/data/1341439/000119312526277521/orcl-20260531.htm</x:v>
      </x:c>
    </x:row>
    <x:row r="19" ht="115" customHeight="1">
      <x:c r="A19" s="89" t="str">
        <x:v>Interest composition</x:v>
      </x:c>
      <x:c r="B19" s="167" t="str">
        <x:v>MD&amp;A attributes the increase primarily to higher average borrowings, but does not provide a complete interest-line reconciliation. Finance-lease interest is separately disclosed; whether it is already inside the selected line is Unavailable, so it is not added. The annual revenue policy discusses contract-financing interest in non-operating income (expenses), net. The customer-prepayment notes call related interest immaterial, not zero; no exact amount or reconciliation to the selected line is established.</x:v>
      </x:c>
      <x:c r="C19" s="169" t="str">
        <x:v>https://www.sec.gov/Archives/edgar/data/1341439/000119312526277521/orcl-20260531.htm</x:v>
      </x:c>
    </x:row>
    <x:row r="20" ht="115" customHeight="1">
      <x:c r="A20" s="89" t="str">
        <x:v>Borrowing and covenant limits</x:v>
      </x:c>
      <x:c r="B20" s="167" t="str">
        <x:v>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c r="C20" s="169" t="str">
        <x:v>https://www.sec.gov/Archives/edgar/data/1341439/000119312526101045/orcl-ex10_17.htm</x:v>
      </x:c>
    </x:row>
    <x:row r="21" ht="115" customHeight="1">
      <x:c r="A21" s="100" t="str">
        <x:v>Lease interest context</x:v>
      </x:c>
      <x:c r="B21" s="172" t="str">
        <x:v>279M annual + 126M current quarter − 48M comparative = 357M TTM. This separately reported expense is not added to or subtracted from the selected interest line because overlap is not established.</x:v>
      </x:c>
      <x:c r="C21" s="174" t="str">
        <x:v>10-K Leases Note 9 p. 88; 10-Q Leases Note 6 p. 12</x:v>
      </x:c>
    </x:row>
    <x:row r="22" ht="78" customHeight="1">
      <x:c r="A22" s="246" t="str">
        <x:v>Borrowing and leases</x:v>
      </x:c>
      <x:c r="B22" s="249" t="str">
        <x:v>The Borrowing and leases sheet reconciles baseline borrowing and shows lease balances on their own dates. Unavailable means the amount was not established in the checked evidence. Leases never enter baseline debt or its ratios.</x:v>
      </x:c>
      <x:c r="C22" s="250" t="str">
        <x:v>https://github.com/jackconnolly1000-ux/sec-filing-research-terminal/blob/main/docs/borrowing_lease_presentation.md</x:v>
      </x:c>
    </x:row>
    <x:row r="23" ht="86" customHeight="1">
      <x:c r="A23" s="246" t="str">
        <x:v>Ratio reconciliation</x:v>
      </x:c>
      <x:c r="B23" s="249" t="str">
        <x:v>Debt and liquidity shows current ratio, same-filing net debt, TTM OCF/debt and FCF/debt, and historical interest coverage. Denominator definitions and capital-spending bases differ by company. Values are historical, not future funding coverage.</x:v>
      </x:c>
      <x:c r="C23" s="250" t="str">
        <x:v>https://github.com/jackconnolly1000-ux/sec-filing-research-terminal/blob/main/docs/ratio_reconciliation.md</x:v>
      </x:c>
    </x:row>
    <x:row r="24" ht="70" customHeight="1">
      <x:c r="A24" s="305" t="str">
        <x:v>History</x:v>
      </x:c>
      <x:c r="B24" s="306" t="str">
        <x:v>Two dated observations per company. Fiscal-year and TTM flows are overlapping twelve-month windows. Unsupported older Vistra borrowing and dependent ratios remain Unavailable.</x:v>
      </x:c>
      <x:c r="C24" s="307" t="str">
        <x:v>https://github.com/jackconnolly1000-ux/sec-filing-research-terminal/blob/main/docs/company_history.md</x:v>
      </x:c>
    </x:row>
    <x:row r="25" ht="70" customHeight="1">
      <x:c r="A25" s="305" t="str">
        <x:v>Core charts</x:v>
      </x:c>
      <x:c r="B25" s="306" t="str">
        <x:v>Two native charts link to Debt and liquidity and History. Signed capital spending is a use; FCF is the result. Unsupported older Vistra borrowing is omitted, never plotted as zero.</x:v>
      </x:c>
      <x:c r="C25" s="307" t="str">
        <x:v>https://github.com/jackconnolly1000-ux/sec-filing-research-terminal/blob/main/docs/core_charts.md</x:v>
      </x:c>
    </x:row>
    <x:row r="26" ht="76" customHeight="1">
      <x:c r="A26" s="305" t="str">
        <x:v>Workbook guide</x:v>
      </x:c>
      <x:c r="B26" s="306" t="str">
        <x:v>The first sheet lists all workbook tabs and their questions. Core metrics, dated history and common charts agree with the app. URLs remain full, copyable source text. Native hyperlink actions are not authored by this spreadsheet runtime.</x:v>
      </x:c>
      <x:c r="C26" s="307" t="str">
        <x:v>https://github.com/jackconnolly1000-ux/sec-filing-research-terminal/blob/main/docs/excel_parity.md</x:v>
      </x:c>
    </x:row>
  </x:sheetData>
  <x:pageMargins left="0.7" right="0.7" top="0.75" bottom="0.75" header="0.3" footer="0.3"/>
</x:worksheet>
</file>