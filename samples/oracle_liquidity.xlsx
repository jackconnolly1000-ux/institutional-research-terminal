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43d077ae847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sh analysis" sheetId="1" r:id="Re88ed3ba4fe84d4e"/>
    <x:sheet xmlns:r="http://schemas.openxmlformats.org/officeDocument/2006/relationships" name="Payment dates" sheetId="2" r:id="Rab686fcbc600455f"/>
    <x:sheet xmlns:r="http://schemas.openxmlformats.org/officeDocument/2006/relationships" name="Data" sheetId="3" r:id="Rd323a0423f934e03"/>
    <x:sheet xmlns:r="http://schemas.openxmlformats.org/officeDocument/2006/relationships" name="About" sheetId="4" r:id="R908fba9896ff4a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,,;(#,##0,,);&quot;-&quot;"/>
    <x:numFmt numFmtId="201" formatCode="0.0&quot;x&quot;"/>
    <x:numFmt numFmtId="202" formatCode="mmm d, yyyy"/>
    <x:numFmt numFmtId="203" formatCode="0.0%"/>
    <x:numFmt numFmtId="204" formatCode="#,##0.00,,;(#,##0.00,,);&quot;-&quot;"/>
    <x:numFmt numFmtId="205" formatCode="#,##0.00,,;(#,##0.00,,);0.00"/>
  </x:numFmts>
  <x:fonts count="13">
    <x:font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name val="Arial"/>
    </x:font>
    <x:font>
      <x:sz val="11"/>
      <x:color rgb="FF008000"/>
      <x:name val="Arial"/>
    </x:font>
    <x:font>
      <x:sz val="10"/>
      <x:name val="Arial"/>
    </x:font>
    <x:font>
      <x:sz val="10"/>
      <x:color rgb="FF00800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name val="Arial"/>
    </x:font>
    <x:font>
      <x:b/>
      <x:sz val="14"/>
      <x:name val="Arial"/>
    </x:font>
    <x:font>
      <x:i/>
      <x:sz val="10"/>
      <x:name val="Arial"/>
    </x:font>
    <x:font>
      <x:b/>
      <x:sz val="10"/>
      <x:color rgb="FF008000"/>
      <x:name val="Arial"/>
    </x:font>
  </x:fonts>
  <x:fills count="2">
    <x:fill>
      <x:patternFill patternType="none"/>
    </x:fill>
    <x:fill>
      <x:patternFill patternType="gray125"/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EB4BD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0" fillId="0" borderId="0" xfId="0" applyNumberFormat="1" applyFont="1" applyFill="1" applyBorder="1"/>
    <x:xf numFmtId="0" fontId="2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1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4" fontId="3" fillId="0" borderId="0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4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 wrapText="0"/>
    </x:xf>
    <x:xf numFmtId="204" fontId="5" fillId="0" borderId="0" xfId="0" applyNumberFormat="1" applyFont="1" applyFill="1" applyBorder="1" applyAlignment="1">
      <x:alignment vertical="center" wrapText="0"/>
    </x:xf>
    <x:xf numFmtId="203" fontId="5" fillId="0" borderId="0" xfId="0" applyNumberFormat="1" applyFont="1" applyFill="1" applyBorder="1" applyAlignment="1">
      <x:alignment vertical="center" wrapText="0"/>
    </x:xf>
    <x:xf numFmtId="200" fontId="5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/>
    <x:xf numFmtId="201" fontId="4" fillId="0" borderId="0" xfId="0" applyNumberFormat="1" applyFont="1" applyFill="1" applyBorder="1"/>
    <x:xf numFmtId="202" fontId="5" fillId="0" borderId="0" xfId="0" applyNumberFormat="1" applyFont="1" applyFill="1" applyBorder="1"/>
    <x:xf numFmtId="201" fontId="6" fillId="0" borderId="0" xfId="0" applyNumberFormat="1" applyFont="1" applyFill="1" applyBorder="1"/>
    <x:xf numFmtId="202" fontId="5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 wrapText="0"/>
    </x:xf>
    <x:xf numFmtId="201" fontId="6" fillId="0" borderId="0" xfId="0" applyNumberFormat="1" applyFont="1" applyFill="1" applyBorder="1" applyAlignment="1">
      <x:alignment vertical="center" wrapText="0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8" fillId="0" borderId="0" xfId="0" applyNumberFormat="1" applyFont="1" applyFill="1" applyBorder="1"/>
    <x:xf numFmtId="201" fontId="8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 wrapText="0"/>
    </x:xf>
    <x:xf numFmtId="201" fontId="8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0"/>
    </x:xf>
    <x:xf numFmtId="0" fontId="11" fillId="0" borderId="0" xfId="0" applyNumberFormat="1" applyFont="1" applyFill="1" applyBorder="1" applyAlignment="1">
      <x:alignment vertical="center" wrapText="0"/>
    </x:xf>
    <x:xf numFmtId="200" fontId="6" fillId="0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200" fontId="9" fillId="0" borderId="1" xfId="0" applyNumberFormat="1" applyFont="1" applyFill="1" applyBorder="1" applyAlignment="1">
      <x:alignment vertical="center" wrapText="0"/>
    </x:xf>
    <x:xf numFmtId="0" fontId="9" fillId="0" borderId="1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 applyAlignment="1">
      <x:alignment vertical="center" wrapText="0"/>
    </x:xf>
    <x:xf numFmtId="205" fontId="5" fillId="0" borderId="0" xfId="0" applyNumberFormat="1" applyFont="1" applyFill="1" applyBorder="1" applyAlignment="1">
      <x:alignment vertical="center" wrapText="0"/>
    </x:xf>
    <x:xf numFmtId="205" fontId="5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af9b673ff84dcb" /><Relationship Type="http://schemas.openxmlformats.org/officeDocument/2006/relationships/theme" Target="/xl/theme/theme1.xml" Id="R2bdf19ae0db8453f" /><Relationship Type="http://schemas.openxmlformats.org/officeDocument/2006/relationships/sharedStrings" Target="/xl/sharedStrings.xml" Id="R4a0770fc4b7e48ce" /><Relationship Type="http://schemas.openxmlformats.org/officeDocument/2006/relationships/worksheet" Target="/xl/worksheets/sheet1.xml" Id="Re88ed3ba4fe84d4e" /><Relationship Type="http://schemas.openxmlformats.org/officeDocument/2006/relationships/worksheet" Target="/xl/worksheets/sheet2.xml" Id="Rab686fcbc600455f" /><Relationship Type="http://schemas.openxmlformats.org/officeDocument/2006/relationships/worksheet" Target="/xl/worksheets/sheet3.xml" Id="Rd323a0423f934e03" /><Relationship Type="http://schemas.openxmlformats.org/officeDocument/2006/relationships/worksheet" Target="/xl/worksheets/sheet4.xml" Id="R908fba9896ff4a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3b8e5e6d7e44d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Quarter cash flow and capex (USD billions)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USD</c:v>
          </c:tx>
          <c:spPr>
            <a:solidFill xmlns:a="http://schemas.openxmlformats.org/drawingml/2006/main">
              <a:srgbClr val="737985"/>
            </a:solidFill>
          </c:spPr>
          <c:invertIfNegative val="0"/>
          <c:cat>
            <c:strRef>
              <c:f>'Cash analysis'!$H$36:$H$40</c:f>
              <c:strCache>
                <c:ptCount val="0"/>
              </c:strCache>
            </c:strRef>
          </c:cat>
          <c:val>
            <c:numRef>
              <c:f>'Cash analysis'!$I$36:$I$40</c:f>
              <c:numCache>
                <c:formatCode>#,##0,,;(#,##0,,);"-"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low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,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b8e5e6d7e44d4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d2bc2c3637046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20" hidden="0" customWidth="1"/>
    <x:col min="3" max="3" width="20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4" customHeight="1">
      <x:c r="A2" s="47" t="str">
        <x:v>Oracle cash sources and uses</x:v>
      </x:c>
      <x:c r="B2" s="25"/>
      <x:c r="C2" s="25"/>
      <x:c r="D2" s="25"/>
      <x:c r="E2" s="25"/>
      <x:c r="F2" s="25"/>
      <x:c r="G2" s="25"/>
      <x:c r="H2" s="25"/>
      <x:c r="I2" s="25"/>
    </x:row>
    <x:row r="3" ht="24" customHeight="1">
      <x:c r="A3" s="48" t="str">
        <x:v>June 1–August 31, 2026. USD millions. Cash totals include restricted cash.</x:v>
      </x:c>
      <x:c r="B3" s="25"/>
      <x:c r="C3" s="25"/>
      <x:c r="D3" s="25"/>
      <x:c r="E3" s="25"/>
      <x:c r="F3" s="25"/>
      <x:c r="G3" s="25"/>
      <x:c r="H3" s="25"/>
      <x:c r="I3" s="25"/>
    </x:row>
    <x:row r="4" ht="24" customHeight="1">
      <x:c r="A4" s="52" t="str">
        <x:v>Quarter cash analysis</x:v>
      </x:c>
      <x:c r="B4" s="52" t="str">
        <x:v>USD millions</x:v>
      </x:c>
      <x:c r="C4" s="25"/>
      <x:c r="D4" s="25"/>
      <x:c r="E4" s="25"/>
      <x:c r="F4" s="25"/>
      <x:c r="G4" s="25"/>
      <x:c r="H4" s="25"/>
      <x:c r="I4" s="25"/>
    </x:row>
    <x:row r="5" ht="30" customHeight="1">
      <x:c r="A5" s="50" t="str">
        <x:v>Opening cash, including restricted</x:v>
      </x:c>
      <x:c r="B5" s="49" t="n">
        <x:f>IF(ISNUMBER('Data'!B19),'Data'!B19,NA())</x:f>
        <x:v>31289000000</x:v>
      </x:c>
      <x:c r="C5" s="25"/>
      <x:c r="D5" s="50"/>
      <x:c r="E5" s="25"/>
      <x:c r="F5" s="25"/>
      <x:c r="G5" s="25"/>
      <x:c r="H5" s="25"/>
      <x:c r="I5" s="25"/>
    </x:row>
    <x:row r="6" ht="30" customHeight="1">
      <x:c r="A6" s="50" t="str">
        <x:v>Reported operating cash flow</x:v>
      </x:c>
      <x:c r="B6" s="49" t="n">
        <x:f>IF(ISNUMBER('Data'!B2),'Data'!B2,NA())</x:f>
        <x:v>23103000000</x:v>
      </x:c>
      <x:c r="C6" s="25"/>
      <x:c r="D6" s="50"/>
      <x:c r="E6" s="25"/>
      <x:c r="F6" s="25"/>
      <x:c r="G6" s="25"/>
      <x:c r="H6" s="25"/>
      <x:c r="I6" s="25"/>
    </x:row>
    <x:row r="7" ht="30" customHeight="1">
      <x:c r="A7" s="50" t="str">
        <x:v>Specified customer-prepayment contribution</x:v>
      </x:c>
      <x:c r="B7" s="49" t="n">
        <x:f>IF(ISNUMBER('Data'!B3),'Data'!B3,NA())</x:f>
        <x:v>11363000000</x:v>
      </x:c>
      <x:c r="C7" s="25"/>
      <x:c r="D7" s="50"/>
      <x:c r="E7" s="25"/>
      <x:c r="F7" s="25"/>
      <x:c r="G7" s="25"/>
      <x:c r="H7" s="25"/>
      <x:c r="I7" s="25"/>
    </x:row>
    <x:row r="8" ht="30" customHeight="1">
      <x:c r="A8" s="50" t="str">
        <x:v>OCF less specified prepayments</x:v>
      </x:c>
      <x:c r="B8" s="29" t="n">
        <x:f>B6-B7</x:f>
        <x:v>11740000000</x:v>
      </x:c>
      <x:c r="C8" s="25"/>
      <x:c r="D8" s="50"/>
      <x:c r="E8" s="25"/>
      <x:c r="F8" s="25"/>
      <x:c r="G8" s="25"/>
      <x:c r="H8" s="25"/>
      <x:c r="I8" s="25"/>
    </x:row>
    <x:row r="9" ht="30" customHeight="1">
      <x:c r="A9" s="50" t="str">
        <x:v>ATM equity proceeds, net</x:v>
      </x:c>
      <x:c r="B9" s="49" t="n">
        <x:f>IF(ISNUMBER('Data'!B8),'Data'!B8,NA())</x:f>
        <x:v>19909000000</x:v>
      </x:c>
      <x:c r="C9" s="25"/>
      <x:c r="D9" s="50"/>
      <x:c r="E9" s="25"/>
      <x:c r="F9" s="25"/>
      <x:c r="G9" s="25"/>
      <x:c r="H9" s="25"/>
      <x:c r="I9" s="25"/>
    </x:row>
    <x:row r="10" ht="30" customHeight="1">
      <x:c r="A10" s="50" t="str">
        <x:v>Cash capital spending</x:v>
      </x:c>
      <x:c r="B10" s="49" t="n">
        <x:f>IF(ISNUMBER('Data'!B4),'Data'!B4,NA())</x:f>
        <x:v>28499000000</x:v>
      </x:c>
      <x:c r="C10" s="25"/>
      <x:c r="D10" s="50"/>
      <x:c r="E10" s="25"/>
      <x:c r="F10" s="25"/>
      <x:c r="G10" s="25"/>
      <x:c r="H10" s="25"/>
      <x:c r="I10" s="25"/>
    </x:row>
    <x:row r="11" ht="30" customHeight="1">
      <x:c r="A11" s="54" t="str">
        <x:v>Reported OCF less cash capex</x:v>
      </x:c>
      <x:c r="B11" s="53" t="n">
        <x:f>B6-B10</x:f>
        <x:v>-5396000000</x:v>
      </x:c>
      <x:c r="C11" s="25"/>
      <x:c r="D11" s="50"/>
      <x:c r="E11" s="25"/>
      <x:c r="F11" s="25"/>
      <x:c r="G11" s="25"/>
      <x:c r="H11" s="25"/>
      <x:c r="I11" s="25"/>
    </x:row>
    <x:row r="12" ht="30" customHeight="1">
      <x:c r="A12" s="54" t="str">
        <x:v>OCF less specified prepayments and capex</x:v>
      </x:c>
      <x:c r="B12" s="53" t="n">
        <x:f>B8-B10</x:f>
        <x:v>-16759000000</x:v>
      </x:c>
      <x:c r="C12" s="25"/>
      <x:c r="D12" s="50"/>
      <x:c r="E12" s="25"/>
      <x:c r="F12" s="25"/>
      <x:c r="G12" s="25"/>
      <x:c r="H12" s="25"/>
      <x:c r="I12" s="25"/>
    </x:row>
    <x:row r="13" ht="30" customHeight="1">
      <x:c r="A13" s="50" t="str">
        <x:v>Cash dividends</x:v>
      </x:c>
      <x:c r="B13" s="49" t="n">
        <x:f>IF(ISNUMBER('Data'!B10),'Data'!B10,NA())</x:f>
        <x:v>1565000000</x:v>
      </x:c>
      <x:c r="C13" s="25"/>
      <x:c r="D13" s="50"/>
      <x:c r="E13" s="25"/>
      <x:c r="F13" s="25"/>
      <x:c r="G13" s="25"/>
      <x:c r="H13" s="25"/>
      <x:c r="I13" s="25"/>
    </x:row>
    <x:row r="14" ht="30" customHeight="1">
      <x:c r="A14" s="50" t="str">
        <x:v>Grouped debt repayments</x:v>
      </x:c>
      <x:c r="B14" s="49" t="n">
        <x:f>IF(ISNUMBER('Data'!B13),'Data'!B13,NA())</x:f>
        <x:v>4202000000</x:v>
      </x:c>
      <x:c r="C14" s="25"/>
      <x:c r="D14" s="50"/>
      <x:c r="E14" s="25"/>
      <x:c r="F14" s="25"/>
      <x:c r="G14" s="25"/>
      <x:c r="H14" s="25"/>
      <x:c r="I14" s="25"/>
    </x:row>
    <x:row r="15" ht="30" customHeight="1">
      <x:c r="A15" s="50" t="str">
        <x:v>Other cash flows, net</x:v>
      </x:c>
      <x:c r="B15" s="49" t="n">
        <x:f>IF(COUNT('Data'!B5,'Data'!B6,'Data'!B9,'Data'!B11,'Data'!B12,'Data'!B14,'Data'!B16)=7,-'Data'!B5+'Data'!B6+'Data'!B9-'Data'!B11+'Data'!B12+'Data'!B14+'Data'!B16,NA())</x:f>
        <x:v>-1101000000</x:v>
      </x:c>
      <x:c r="C15" s="25"/>
      <x:c r="D15" s="50"/>
      <x:c r="E15" s="25"/>
      <x:c r="F15" s="25"/>
      <x:c r="G15" s="25"/>
      <x:c r="H15" s="25"/>
      <x:c r="I15" s="25"/>
    </x:row>
    <x:row r="16" ht="30" customHeight="1">
      <x:c r="A16" s="54" t="str">
        <x:v>Calculated cash increase</x:v>
      </x:c>
      <x:c r="B16" s="53" t="n">
        <x:f>B6+B9-B10-B13-B14+B15</x:f>
        <x:v>7645000000</x:v>
      </x:c>
      <x:c r="C16" s="25"/>
      <x:c r="D16" s="50"/>
      <x:c r="E16" s="25"/>
      <x:c r="F16" s="25"/>
      <x:c r="G16" s="25"/>
      <x:c r="H16" s="25"/>
      <x:c r="I16" s="25"/>
    </x:row>
    <x:row r="17" ht="30" customHeight="1">
      <x:c r="A17" s="54" t="str">
        <x:v>Calculated ending cash, including restricted</x:v>
      </x:c>
      <x:c r="B17" s="53" t="n">
        <x:f>B5+B16</x:f>
        <x:v>38934000000</x:v>
      </x:c>
      <x:c r="C17" s="25"/>
      <x:c r="D17" s="50"/>
      <x:c r="E17" s="25"/>
      <x:c r="F17" s="25"/>
      <x:c r="G17" s="25"/>
      <x:c r="H17" s="25"/>
      <x:c r="I17" s="25"/>
    </x:row>
    <x:row r="18" ht="30" customHeight="1">
      <x:c r="A18" s="50" t="str">
        <x:v>Reported ending cash, including restricted</x:v>
      </x:c>
      <x:c r="B18" s="49" t="n">
        <x:f>IF(ISNUMBER('Data'!B20),'Data'!B20,NA())</x:f>
        <x:v>38934000000</x:v>
      </x:c>
      <x:c r="C18" s="25"/>
      <x:c r="D18" s="50"/>
      <x:c r="E18" s="25"/>
      <x:c r="F18" s="25"/>
      <x:c r="G18" s="25"/>
      <x:c r="H18" s="25"/>
      <x:c r="I18" s="25"/>
    </x:row>
    <x:row r="19" ht="30" customHeight="1">
      <x:c r="A19" s="50" t="str">
        <x:v>Ending-cash reconciliation difference</x:v>
      </x:c>
      <x:c r="B19" s="58" t="n">
        <x:f>B17-B18</x:f>
        <x:v>0</x:v>
      </x:c>
      <x:c r="C19" s="25"/>
      <x:c r="D19" s="50"/>
      <x:c r="E19" s="25"/>
      <x:c r="F19" s="25"/>
      <x:c r="G19" s="25"/>
      <x:c r="H19" s="25"/>
      <x:c r="I19" s="25"/>
    </x:row>
    <x:row r="20" ht="30" customHeight="1">
      <x:c r="A20" s="54" t="str">
        <x:v>Balance-sheet cash excluding restricted</x:v>
      </x:c>
      <x:c r="B20" s="57" t="n">
        <x:f>IF(ISNUMBER('Data'!B21),'Data'!B21,NA())</x:f>
        <x:v>36369000000</x:v>
      </x:c>
      <x:c r="C20" s="25"/>
      <x:c r="D20" s="50"/>
      <x:c r="E20" s="25"/>
      <x:c r="F20" s="25"/>
      <x:c r="G20" s="25"/>
      <x:c r="H20" s="25"/>
      <x:c r="I20" s="25"/>
    </x:row>
    <x:row r="21" ht="30" customHeight="1">
      <x:c r="A21" s="50" t="str">
        <x:v>Restricted cash at August 31</x:v>
      </x:c>
      <x:c r="B21" s="29" t="n">
        <x:f>B18-B20</x:f>
        <x:v>2565000000</x:v>
      </x:c>
      <x:c r="C21" s="25"/>
      <x:c r="D21" s="50"/>
      <x:c r="E21" s="25"/>
      <x:c r="F21" s="25"/>
      <x:c r="G21" s="25"/>
      <x:c r="H21" s="25"/>
      <x:c r="I21" s="25"/>
    </x:row>
    <x:row r="22" ht="30" customHeight="1">
      <x:c r="A22" s="50" t="str">
        <x:v>Reported cash increase</x:v>
      </x:c>
      <x:c r="B22" s="49" t="n">
        <x:f>IF(ISNUMBER('Data'!B17),'Data'!B17,NA())</x:f>
        <x:v>7645000000</x:v>
      </x:c>
      <x:c r="C22" s="25"/>
      <x:c r="D22" s="50"/>
      <x:c r="E22" s="25"/>
      <x:c r="F22" s="25"/>
      <x:c r="G22" s="25"/>
      <x:c r="H22" s="25"/>
      <x:c r="I22" s="25"/>
    </x:row>
    <x:row r="23" ht="30" customHeight="1">
      <x:c r="A23" s="50" t="str">
        <x:v>Cash-increase reconciliation difference</x:v>
      </x:c>
      <x:c r="B23" s="58" t="n">
        <x:f>B16-B22</x:f>
        <x:v>0</x:v>
      </x:c>
      <x:c r="C23" s="25"/>
      <x:c r="D23" s="50"/>
      <x:c r="E23" s="25"/>
      <x:c r="F23" s="25"/>
      <x:c r="G23" s="25"/>
      <x:c r="H23" s="25"/>
      <x:c r="I23" s="25"/>
    </x:row>
    <x:row r="24" ht="30" customHeight="1">
      <x:c r="A24" s="50"/>
      <x:c r="B24" s="29"/>
      <x:c r="C24" s="25"/>
      <x:c r="D24" s="50"/>
      <x:c r="E24" s="25"/>
      <x:c r="F24" s="25"/>
      <x:c r="G24" s="25"/>
      <x:c r="H24" s="25"/>
      <x:c r="I24" s="25"/>
    </x:row>
    <x:row r="25" ht="30" customHeight="1">
      <x:c r="A25" s="54" t="str">
        <x:v>Cash increase less ATM equity proceeds</x:v>
      </x:c>
      <x:c r="B25" s="53" t="n">
        <x:f>B16-B9</x:f>
        <x:v>-12264000000</x:v>
      </x:c>
      <x:c r="C25" s="25"/>
      <x:c r="D25" s="50"/>
      <x:c r="E25" s="25"/>
      <x:c r="F25" s="25"/>
      <x:c r="G25" s="25"/>
      <x:c r="H25" s="25"/>
      <x:c r="I25" s="25"/>
    </x:row>
    <x:row r="26" ht="30" customHeight="1">
      <x:c r="A26" s="54" t="str">
        <x:v>Cash increase less ATM and specified prepayments</x:v>
      </x:c>
      <x:c r="B26" s="53" t="n">
        <x:f>B25-B7</x:f>
        <x:v>-23627000000</x:v>
      </x:c>
      <x:c r="C26" s="25"/>
      <x:c r="D26" s="50"/>
      <x:c r="E26" s="25"/>
      <x:c r="F26" s="25"/>
      <x:c r="G26" s="25"/>
      <x:c r="H26" s="25"/>
      <x:c r="I26" s="25"/>
    </x:row>
    <x:row r="27" ht="30" customHeight="1">
      <x:c r="A27" s="50" t="str">
        <x:v>Specified prepayments / reported OCF</x:v>
      </x:c>
      <x:c r="B27" s="28" t="n">
        <x:f>IF(B6&gt;0,B7/B6,NA())</x:f>
        <x:v>0.49184088646496127</x:v>
      </x:c>
      <x:c r="C27" s="25"/>
      <x:c r="D27" s="50"/>
      <x:c r="E27" s="25"/>
      <x:c r="F27" s="25"/>
      <x:c r="G27" s="25"/>
      <x:c r="H27" s="25"/>
      <x:c r="I27" s="25"/>
    </x:row>
    <x:row r="28" ht="24" customHeight="1">
      <x:c r="A28" s="25"/>
      <x:c r="B28" s="29"/>
      <x:c r="C28" s="25"/>
      <x:c r="D28" s="50"/>
      <x:c r="E28" s="25"/>
      <x:c r="F28" s="25"/>
      <x:c r="G28" s="25"/>
      <x:c r="H28" s="25"/>
      <x:c r="I28" s="25"/>
    </x:row>
    <x:row r="29" ht="24" customHeight="1">
      <x:c r="A29" s="48" t="str">
        <x:v>Rows 25–26 hold every other reported flow fixed. They are historical arithmetic, not forecasts.</x:v>
      </x:c>
      <x:c r="B29" s="29"/>
      <x:c r="C29" s="25"/>
      <x:c r="D29" s="25"/>
      <x:c r="E29" s="25"/>
      <x:c r="F29" s="25"/>
      <x:c r="G29" s="25"/>
      <x:c r="H29" s="25"/>
      <x:c r="I29" s="25"/>
    </x:row>
    <x:row r="30" ht="24" customHeight="1">
      <x:c r="A30" s="48" t="str">
        <x:v>No cash runway or future repayment surplus is calculated. August debt maturity amounts and drawable credit are Unavailable.</x:v>
      </x:c>
      <x:c r="B30" s="29"/>
      <x:c r="C30" s="25"/>
      <x:c r="D30" s="25"/>
      <x:c r="E30" s="25"/>
      <x:c r="F30" s="25"/>
      <x:c r="G30" s="25"/>
      <x:c r="H30" s="25"/>
      <x:c r="I30" s="25"/>
    </x:row>
    <x:row r="31" ht="24" customHeight="1">
      <x:c r="A31" s="48" t="str">
        <x:v>Interest and operating lease cash payments within OCF are not subtracted again.</x:v>
      </x:c>
      <x:c r="B31" s="29"/>
      <x:c r="C31" s="25"/>
      <x:c r="D31" s="25"/>
      <x:c r="E31" s="25"/>
      <x:c r="F31" s="25"/>
      <x:c r="G31" s="25"/>
      <x:c r="H31" s="25"/>
      <x:c r="I31" s="25"/>
    </x:row>
    <x:row r="32" ht="24" customHeight="1">
      <x:c r="A32" s="48" t="str">
        <x:v>The 11.363B prepayment contribution is already in OCF; the 19.909B ATM proceeds are already in August cash.</x:v>
      </x:c>
      <x:c r="B32" s="29"/>
      <x:c r="C32" s="25"/>
      <x:c r="D32" s="25"/>
      <x:c r="E32" s="25"/>
      <x:c r="F32" s="25"/>
      <x:c r="G32" s="25"/>
      <x:c r="H32" s="25"/>
      <x:c r="I32" s="25"/>
    </x:row>
    <x:row r="33" ht="24" customHeight="1">
      <x:c r="A33" s="25"/>
      <x:c r="B33" s="29"/>
      <x:c r="C33" s="25"/>
      <x:c r="D33" s="25"/>
      <x:c r="E33" s="25"/>
      <x:c r="F33" s="25"/>
      <x:c r="G33" s="25"/>
      <x:c r="H33" s="25"/>
      <x:c r="I33" s="25"/>
    </x:row>
    <x:row r="34" ht="24" customHeight="1">
      <x:c r="A34" s="25"/>
      <x:c r="B34" s="25"/>
      <x:c r="C34" s="25"/>
      <x:c r="D34" s="25"/>
      <x:c r="E34" s="25"/>
      <x:c r="F34" s="25"/>
      <x:c r="G34" s="25"/>
      <x:c r="H34" s="25"/>
      <x:c r="I34" s="25"/>
    </x:row>
    <x:row r="35" ht="38" customHeight="1">
      <x:c r="A35" s="25"/>
      <x:c r="B35" s="25"/>
      <x:c r="C35" s="25"/>
      <x:c r="D35" s="25"/>
      <x:c r="E35" s="25"/>
      <x:c r="F35" s="25"/>
      <x:c r="G35" s="25"/>
      <x:c r="H35" s="50" t="str">
        <x:v>Quarter measure</x:v>
      </x:c>
      <x:c r="I35" s="50" t="str">
        <x:v>USD</x:v>
      </x:c>
    </x:row>
    <x:row r="36" ht="38" customHeight="1">
      <x:c r="A36" s="25"/>
      <x:c r="B36" s="25"/>
      <x:c r="C36" s="25"/>
      <x:c r="D36" s="25"/>
      <x:c r="E36" s="25"/>
      <x:c r="F36" s="25"/>
      <x:c r="G36" s="25"/>
      <x:c r="H36" s="50" t="str">
        <x:v>Reported OCF</x:v>
      </x:c>
      <x:c r="I36" s="51" t="n">
        <x:f>B6</x:f>
        <x:v>23103000000</x:v>
      </x:c>
    </x:row>
    <x:row r="37" ht="38" customHeight="1">
      <x:c r="A37" s="25"/>
      <x:c r="B37" s="25"/>
      <x:c r="C37" s="25"/>
      <x:c r="D37" s="25"/>
      <x:c r="E37" s="25"/>
      <x:c r="F37" s="25"/>
      <x:c r="G37" s="25"/>
      <x:c r="H37" s="50" t="str">
        <x:v>OCF less
prepayments</x:v>
      </x:c>
      <x:c r="I37" s="51" t="n">
        <x:f>B8</x:f>
        <x:v>11740000000</x:v>
      </x:c>
    </x:row>
    <x:row r="38" ht="38" customHeight="1">
      <x:c r="A38" s="25"/>
      <x:c r="B38" s="25"/>
      <x:c r="C38" s="25"/>
      <x:c r="D38" s="25"/>
      <x:c r="E38" s="25"/>
      <x:c r="F38" s="25"/>
      <x:c r="G38" s="25"/>
      <x:c r="H38" s="50" t="str">
        <x:v>Cash capex</x:v>
      </x:c>
      <x:c r="I38" s="51" t="n">
        <x:f>B10</x:f>
        <x:v>28499000000</x:v>
      </x:c>
    </x:row>
    <x:row r="39" ht="38" customHeight="1">
      <x:c r="A39" s="25"/>
      <x:c r="B39" s="25"/>
      <x:c r="C39" s="25"/>
      <x:c r="D39" s="25"/>
      <x:c r="E39" s="25"/>
      <x:c r="F39" s="25"/>
      <x:c r="G39" s="25"/>
      <x:c r="H39" s="50" t="str">
        <x:v>OCF less
cash capex</x:v>
      </x:c>
      <x:c r="I39" s="51" t="n">
        <x:f>B11</x:f>
        <x:v>-5396000000</x:v>
      </x:c>
    </x:row>
    <x:row r="40" ht="38" customHeight="1">
      <x:c r="A40" s="25"/>
      <x:c r="B40" s="25"/>
      <x:c r="C40" s="25"/>
      <x:c r="D40" s="25"/>
      <x:c r="E40" s="25"/>
      <x:c r="F40" s="25"/>
      <x:c r="G40" s="25"/>
      <x:c r="H40" s="50" t="str">
        <x:v>OCF less prepayments
and capex</x:v>
      </x:c>
      <x:c r="I40" s="51" t="n">
        <x:f>B12</x:f>
        <x:v>-16759000000</x:v>
      </x:c>
    </x:row>
  </x:sheetData>
  <x:pageMargins left="0.7" right="0.7" top="0.75" bottom="0.75" header="0.3" footer="0.3"/>
  <x:drawing xmlns:r="http://schemas.openxmlformats.org/officeDocument/2006/relationships" r:id="R0d2bc2c3637046a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3" hidden="0" customWidth="1"/>
    <x:col min="2" max="2" width="20" hidden="0" customWidth="1"/>
    <x:col min="3" max="3" width="20" hidden="0" customWidth="1"/>
    <x:col min="4" max="4" width="53" hidden="0" customWidth="1"/>
    <x:col min="5" max="5" width="20" hidden="0" customWidth="1"/>
    <x:col min="6" max="6" width="20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</x:cols>
  <x:sheetData>
    <x:row r="2" ht="24" customHeight="1">
      <x:c r="A2" s="47" t="str">
        <x:v>Oracle payment dates and financing limits</x:v>
      </x:c>
      <x:c r="B2" s="25"/>
      <x:c r="C2" s="25"/>
      <x:c r="D2" s="25"/>
      <x:c r="E2" s="25"/>
      <x:c r="F2" s="25"/>
    </x:row>
    <x:row r="3" ht="24" customHeight="1">
      <x:c r="A3" s="48" t="str">
        <x:v>At August 31, 2026. USD millions. Leases include interest; no combined obligations total.</x:v>
      </x:c>
      <x:c r="B3" s="25"/>
      <x:c r="C3" s="25"/>
      <x:c r="D3" s="25"/>
      <x:c r="E3" s="25"/>
      <x:c r="F3" s="25"/>
    </x:row>
    <x:row r="4" ht="24" customHeight="1">
      <x:c r="A4" s="25"/>
      <x:c r="B4" s="25"/>
      <x:c r="C4" s="25"/>
      <x:c r="D4" s="25"/>
      <x:c r="E4" s="25"/>
      <x:c r="F4" s="25"/>
    </x:row>
    <x:row r="5" ht="24" customHeight="1">
      <x:c r="A5" s="52" t="str">
        <x:v>Due period</x:v>
      </x:c>
      <x:c r="B5" s="55" t="str">
        <x:v>Operating leases</x:v>
      </x:c>
      <x:c r="C5" s="52" t="str">
        <x:v>Finance leases</x:v>
      </x:c>
      <x:c r="D5" s="56" t="str">
        <x:v>Purchase and other</x:v>
      </x:c>
      <x:c r="E5" s="52" t="str">
        <x:v>Due from</x:v>
      </x:c>
      <x:c r="F5" s="52" t="str">
        <x:v>Due through</x:v>
      </x:c>
    </x:row>
    <x:row r="6" ht="24" customHeight="1">
      <x:c r="A6" s="25" t="str">
        <x:v>Remainder FY2027</x:v>
      </x:c>
      <x:c r="B6" s="29" t="n">
        <x:f>IF(ISNUMBER('Data'!B23),'Data'!B23,NA())</x:f>
        <x:v>3219000000</x:v>
      </x:c>
      <x:c r="C6" s="29" t="n">
        <x:f>IF(ISNUMBER('Data'!B30),'Data'!B30,NA())</x:f>
        <x:v>620000000</x:v>
      </x:c>
      <x:c r="D6" s="51" t="n">
        <x:f>IF(ISNUMBER('Data'!B37),'Data'!B37,NA())</x:f>
        <x:v>5449000000</x:v>
      </x:c>
      <x:c r="E6" s="36" t="d">
        <x:v>2026-09-01T00:00:00.000Z</x:v>
      </x:c>
      <x:c r="F6" s="36" t="d">
        <x:v>2027-05-31T00:00:00.000Z</x:v>
      </x:c>
    </x:row>
    <x:row r="7" ht="24" customHeight="1">
      <x:c r="A7" s="25" t="str">
        <x:v>FY2028</x:v>
      </x:c>
      <x:c r="B7" s="29" t="n">
        <x:f>IF(ISNUMBER('Data'!B24),'Data'!B24,NA())</x:f>
        <x:v>4135000000</x:v>
      </x:c>
      <x:c r="C7" s="29" t="n">
        <x:f>IF(ISNUMBER('Data'!B31),'Data'!B31,NA())</x:f>
        <x:v>852000000</x:v>
      </x:c>
      <x:c r="D7" s="51" t="n">
        <x:f>IF(ISNUMBER('Data'!B38),'Data'!B38,NA())</x:f>
        <x:v>6176000000</x:v>
      </x:c>
      <x:c r="E7" s="36" t="d">
        <x:v>2027-06-01T00:00:00.000Z</x:v>
      </x:c>
      <x:c r="F7" s="36" t="d">
        <x:v>2028-05-31T00:00:00.000Z</x:v>
      </x:c>
    </x:row>
    <x:row r="8" ht="24" customHeight="1">
      <x:c r="A8" s="25" t="str">
        <x:v>FY2029</x:v>
      </x:c>
      <x:c r="B8" s="29" t="n">
        <x:f>IF(ISNUMBER('Data'!B25),'Data'!B25,NA())</x:f>
        <x:v>4097000000</x:v>
      </x:c>
      <x:c r="C8" s="29" t="n">
        <x:f>IF(ISNUMBER('Data'!B32),'Data'!B32,NA())</x:f>
        <x:v>923000000</x:v>
      </x:c>
      <x:c r="D8" s="51" t="n">
        <x:f>IF(ISNUMBER('Data'!B39),'Data'!B39,NA())</x:f>
        <x:v>3863000000</x:v>
      </x:c>
      <x:c r="E8" s="36" t="d">
        <x:v>2028-06-01T00:00:00.000Z</x:v>
      </x:c>
      <x:c r="F8" s="36" t="d">
        <x:v>2029-05-31T00:00:00.000Z</x:v>
      </x:c>
    </x:row>
    <x:row r="9" ht="24" customHeight="1">
      <x:c r="A9" s="25" t="str">
        <x:v>FY2030</x:v>
      </x:c>
      <x:c r="B9" s="29" t="n">
        <x:f>IF(ISNUMBER('Data'!B26),'Data'!B26,NA())</x:f>
        <x:v>4109000000</x:v>
      </x:c>
      <x:c r="C9" s="29" t="n">
        <x:f>IF(ISNUMBER('Data'!B33),'Data'!B33,NA())</x:f>
        <x:v>947000000</x:v>
      </x:c>
      <x:c r="D9" s="51" t="n">
        <x:f>IF(ISNUMBER('Data'!B40),'Data'!B40,NA())</x:f>
        <x:v>4318000000</x:v>
      </x:c>
      <x:c r="E9" s="36" t="d">
        <x:v>2029-06-01T00:00:00.000Z</x:v>
      </x:c>
      <x:c r="F9" s="36" t="d">
        <x:v>2030-05-31T00:00:00.000Z</x:v>
      </x:c>
    </x:row>
    <x:row r="10" ht="24" customHeight="1">
      <x:c r="A10" s="25" t="str">
        <x:v>FY2031</x:v>
      </x:c>
      <x:c r="B10" s="29" t="n">
        <x:f>IF(ISNUMBER('Data'!B27),'Data'!B27,NA())</x:f>
        <x:v>4089000000</x:v>
      </x:c>
      <x:c r="C10" s="29" t="n">
        <x:f>IF(ISNUMBER('Data'!B34),'Data'!B34,NA())</x:f>
        <x:v>971000000</x:v>
      </x:c>
      <x:c r="D10" s="51" t="n">
        <x:f>IF(ISNUMBER('Data'!B41),'Data'!B41,NA())</x:f>
        <x:v>6768000000</x:v>
      </x:c>
      <x:c r="E10" s="36" t="d">
        <x:v>2030-06-01T00:00:00.000Z</x:v>
      </x:c>
      <x:c r="F10" s="36" t="d">
        <x:v>2031-05-31T00:00:00.000Z</x:v>
      </x:c>
    </x:row>
    <x:row r="11" ht="24" customHeight="1">
      <x:c r="A11" s="25" t="str">
        <x:v>FY2032</x:v>
      </x:c>
      <x:c r="B11" s="29" t="n">
        <x:f>IF(ISNUMBER('Data'!B28),'Data'!B28,NA())</x:f>
        <x:v>4030000000</x:v>
      </x:c>
      <x:c r="C11" s="29" t="n">
        <x:f>IF(ISNUMBER('Data'!B35),'Data'!B35,NA())</x:f>
        <x:v>996000000</x:v>
      </x:c>
      <x:c r="D11" s="51" t="n">
        <x:f>IF(ISNUMBER('Data'!B42),'Data'!B42,NA())</x:f>
        <x:v>954000000</x:v>
      </x:c>
      <x:c r="E11" s="36" t="d">
        <x:v>2031-06-01T00:00:00.000Z</x:v>
      </x:c>
      <x:c r="F11" s="36" t="d">
        <x:v>2032-05-31T00:00:00.000Z</x:v>
      </x:c>
    </x:row>
    <x:row r="12" ht="24" customHeight="1">
      <x:c r="A12" s="25" t="str">
        <x:v>Thereafter</x:v>
      </x:c>
      <x:c r="B12" s="29" t="n">
        <x:f>IF(ISNUMBER('Data'!B29),'Data'!B29,NA())</x:f>
        <x:v>24371000000</x:v>
      </x:c>
      <x:c r="C12" s="29" t="n">
        <x:f>IF(ISNUMBER('Data'!B36),'Data'!B36,NA())</x:f>
        <x:v>9886000000</x:v>
      </x:c>
      <x:c r="D12" s="51" t="n">
        <x:f>IF(ISNUMBER('Data'!B43),'Data'!B43,NA())</x:f>
        <x:v>6622000000</x:v>
      </x:c>
      <x:c r="E12" s="36" t="d">
        <x:v>2032-06-01T00:00:00.000Z</x:v>
      </x:c>
      <x:c r="F12" s="36"/>
    </x:row>
    <x:row r="13" ht="24" customHeight="1">
      <x:c r="A13" s="25"/>
      <x:c r="B13" s="29"/>
      <x:c r="C13" s="29"/>
      <x:c r="D13" s="51"/>
      <x:c r="E13" s="25"/>
      <x:c r="F13" s="25"/>
    </x:row>
    <x:row r="14" ht="24" customHeight="1">
      <x:c r="A14" s="25" t="str">
        <x:v>Calculated payment total</x:v>
      </x:c>
      <x:c r="B14" s="29" t="n">
        <x:f>SUM(B6:B12)</x:f>
        <x:v>48050000000</x:v>
      </x:c>
      <x:c r="C14" s="29" t="n">
        <x:f>SUM(C6:C12)</x:f>
        <x:v>15195000000</x:v>
      </x:c>
      <x:c r="D14" s="51" t="n">
        <x:f>SUM(D6:D12)</x:f>
        <x:v>34150000000</x:v>
      </x:c>
      <x:c r="E14" s="25"/>
      <x:c r="F14" s="25"/>
    </x:row>
    <x:row r="15" ht="24" customHeight="1">
      <x:c r="A15" s="25" t="str">
        <x:v>Reported payment total</x:v>
      </x:c>
      <x:c r="B15" s="29" t="n">
        <x:f>IF(ISNUMBER('Data'!B44),'Data'!B44,NA())</x:f>
        <x:v>48050000000</x:v>
      </x:c>
      <x:c r="C15" s="29" t="n">
        <x:f>IF(ISNUMBER('Data'!B47),'Data'!B47,NA())</x:f>
        <x:v>15195000000</x:v>
      </x:c>
      <x:c r="D15" s="51" t="n">
        <x:f>IF(ISNUMBER('Data'!B50),'Data'!B50,NA())</x:f>
        <x:v>34150000000</x:v>
      </x:c>
      <x:c r="E15" s="25"/>
      <x:c r="F15" s="25"/>
    </x:row>
    <x:row r="16" ht="24" customHeight="1">
      <x:c r="A16" s="25" t="str">
        <x:v>Payment-total difference</x:v>
      </x:c>
      <x:c r="B16" s="58" t="n">
        <x:f>B14-B15</x:f>
        <x:v>0</x:v>
      </x:c>
      <x:c r="C16" s="58" t="n">
        <x:f>C14-C15</x:f>
        <x:v>0</x:v>
      </x:c>
      <x:c r="D16" s="59" t="n">
        <x:f>D14-D15</x:f>
        <x:v>0</x:v>
      </x:c>
      <x:c r="E16" s="25"/>
      <x:c r="F16" s="25"/>
    </x:row>
    <x:row r="17" ht="24" customHeight="1">
      <x:c r="A17" s="25" t="str">
        <x:v>Less: imputed interest</x:v>
      </x:c>
      <x:c r="B17" s="29" t="n">
        <x:f>IF(ISNUMBER('Data'!B45),'Data'!B45,NA())</x:f>
        <x:v>13429000000</x:v>
      </x:c>
      <x:c r="C17" s="29" t="n">
        <x:f>IF(ISNUMBER('Data'!B48),'Data'!B48,NA())</x:f>
        <x:v>6010000000</x:v>
      </x:c>
      <x:c r="D17" s="51"/>
      <x:c r="E17" s="25"/>
      <x:c r="F17" s="25"/>
    </x:row>
    <x:row r="18" ht="24" customHeight="1">
      <x:c r="A18" s="25" t="str">
        <x:v>Calculated lease liability</x:v>
      </x:c>
      <x:c r="B18" s="29" t="n">
        <x:f>B14-B17</x:f>
        <x:v>34621000000</x:v>
      </x:c>
      <x:c r="C18" s="29" t="n">
        <x:f>C14-C17</x:f>
        <x:v>9185000000</x:v>
      </x:c>
      <x:c r="D18" s="51"/>
      <x:c r="E18" s="25"/>
      <x:c r="F18" s="25"/>
    </x:row>
    <x:row r="19" ht="24" customHeight="1">
      <x:c r="A19" s="25" t="str">
        <x:v>Reported lease liability</x:v>
      </x:c>
      <x:c r="B19" s="29" t="n">
        <x:f>IF(ISNUMBER('Data'!B46),'Data'!B46,NA())</x:f>
        <x:v>34621000000</x:v>
      </x:c>
      <x:c r="C19" s="29" t="n">
        <x:f>IF(ISNUMBER('Data'!B49),'Data'!B49,NA())</x:f>
        <x:v>9185000000</x:v>
      </x:c>
      <x:c r="D19" s="51"/>
      <x:c r="E19" s="25"/>
      <x:c r="F19" s="25"/>
    </x:row>
    <x:row r="20" ht="24" customHeight="1">
      <x:c r="A20" s="25" t="str">
        <x:v>Lease-liability difference</x:v>
      </x:c>
      <x:c r="B20" s="58" t="n">
        <x:f>B18-B19</x:f>
        <x:v>0</x:v>
      </x:c>
      <x:c r="C20" s="58" t="n">
        <x:f>C18-C19</x:f>
        <x:v>0</x:v>
      </x:c>
      <x:c r="D20" s="59"/>
      <x:c r="E20" s="25"/>
      <x:c r="F20" s="25"/>
    </x:row>
    <x:row r="21" ht="24" customHeight="1">
      <x:c r="A21" s="25"/>
      <x:c r="B21" s="29"/>
      <x:c r="C21" s="25"/>
      <x:c r="D21" s="50"/>
      <x:c r="E21" s="25"/>
      <x:c r="F21" s="25"/>
    </x:row>
    <x:row r="22" ht="42" customHeight="1">
      <x:c r="A22" s="25" t="str">
        <x:v>Operating leases not yet commenced</x:v>
      </x:c>
      <x:c r="B22" s="29" t="n">
        <x:f>IF(ISNUMBER('Data'!B22),'Data'!B22,NA())</x:f>
        <x:v>288000000000</x:v>
      </x:c>
      <x:c r="C22" s="25"/>
      <x:c r="D22" s="50" t="str">
        <x:v>Commencement FY2027–2029; terms 15–19 years. Annual payment timing Unavailable.</x:v>
      </x:c>
      <x:c r="E22" s="50"/>
      <x:c r="F22" s="50"/>
    </x:row>
    <x:row r="23" ht="24" customHeight="1">
      <x:c r="A23" s="25"/>
      <x:c r="B23" s="29"/>
      <x:c r="C23" s="25"/>
      <x:c r="D23" s="50"/>
      <x:c r="E23" s="50"/>
      <x:c r="F23" s="50"/>
    </x:row>
    <x:row r="24" ht="42" customHeight="1">
      <x:c r="A24" s="25" t="str">
        <x:v>Original revolver commitment</x:v>
      </x:c>
      <x:c r="B24" s="49" t="n">
        <x:f>IF(ISNUMBER('Data'!B51),'Data'!B51,NA())</x:f>
        <x:v>10000000000</x:v>
      </x:c>
      <x:c r="C24" s="25"/>
      <x:c r="D24" s="50" t="str">
        <x:v>Agreement dated March 6, 2026. Original maturity March 6, 2031.</x:v>
      </x:c>
      <x:c r="E24" s="50"/>
      <x:c r="F24" s="50"/>
    </x:row>
    <x:row r="25" ht="42" customHeight="1">
      <x:c r="A25" s="25" t="str">
        <x:v>Revolver drawn at May 31</x:v>
      </x:c>
      <x:c r="B25" s="49" t="n">
        <x:f>IF(ISNUMBER('Data'!B52),'Data'!B52,NA())</x:f>
        <x:v>0</x:v>
      </x:c>
      <x:c r="C25" s="25"/>
      <x:c r="D25" s="50" t="str">
        <x:v>Historical drawing balance only.</x:v>
      </x:c>
      <x:c r="E25" s="50"/>
      <x:c r="F25" s="50"/>
    </x:row>
    <x:row r="26" ht="42" customHeight="1">
      <x:c r="A26" s="25" t="str">
        <x:v>August drawable revolver capacity</x:v>
      </x:c>
      <x:c r="B26" s="29"/>
      <x:c r="C26" s="25"/>
      <x:c r="D26" s="50" t="str">
        <x:v>Unavailable: current drawings, conditions and covenant headroom not established.</x:v>
      </x:c>
      <x:c r="E26" s="50"/>
      <x:c r="F26" s="50"/>
    </x:row>
    <x:row r="27" ht="42" customHeight="1">
      <x:c r="A27" s="25" t="str">
        <x:v>Minimum contractual interest coverage</x:v>
      </x:c>
      <x:c r="B27" s="37" t="n">
        <x:f>IF(ISNUMBER('Data'!B53),'Data'!B53,NA())</x:f>
        <x:v>3</x:v>
      </x:c>
      <x:c r="C27" s="25"/>
      <x:c r="D27" s="50" t="str">
        <x:v>3.0x, contract-defined. Current covenant headroom Unavailable.</x:v>
      </x:c>
      <x:c r="E27" s="50"/>
      <x:c r="F27" s="50"/>
    </x:row>
    <x:row r="28" ht="24" customHeight="1">
      <x:c r="A28" s="25"/>
      <x:c r="B28" s="29"/>
      <x:c r="C28" s="25"/>
      <x:c r="D28" s="50"/>
      <x:c r="E28" s="50"/>
      <x:c r="F28" s="50"/>
    </x:row>
    <x:row r="29" ht="24" customHeight="1">
      <x:c r="A29" s="48" t="str">
        <x:v>The May borrowing schedule is historical; remaining August debt maturities are Unavailable.</x:v>
      </x:c>
      <x:c r="B29" s="29"/>
      <x:c r="C29" s="25"/>
      <x:c r="D29" s="50"/>
      <x:c r="E29" s="50"/>
      <x:c r="F29" s="50"/>
    </x:row>
    <x:row r="30" ht="24" customHeight="1">
      <x:c r="A30" s="48" t="str">
        <x:v>The $20B gross ATM program was fully used in Q1. It is not unused equity capacity.</x:v>
      </x:c>
      <x:c r="B30" s="29"/>
      <x:c r="C30" s="25"/>
      <x:c r="D30" s="50"/>
      <x:c r="E30" s="50"/>
      <x:c r="F30" s="50"/>
    </x:row>
    <x:row r="31" ht="24" customHeight="1">
      <x:c r="A31" s="48" t="str">
        <x:v>Purchase obligations, unpaid capex and leases may overlap. No aggregate funding requirement is inferred.</x:v>
      </x:c>
      <x:c r="B31" s="29"/>
      <x:c r="C31" s="25"/>
      <x:c r="D31" s="50"/>
      <x:c r="E31" s="50"/>
      <x:c r="F31" s="50"/>
    </x:row>
    <x:row r="32" ht="24" customHeight="1">
      <x:c r="A32" s="48"/>
      <x:c r="B32" s="29"/>
      <x:c r="C32" s="25"/>
      <x:c r="D32" s="50"/>
      <x:c r="E32" s="50"/>
      <x:c r="F32" s="50"/>
    </x:row>
    <x:row r="33" ht="42" customHeight="1">
      <x:c r="A33" s="25" t="str">
        <x:v>Unpaid capex, noncash disclosure</x:v>
      </x:c>
      <x:c r="B33" s="49" t="n">
        <x:f>IF(ISNUMBER('Data'!B18),'Data'!B18,NA())</x:f>
        <x:v>6247000000</x:v>
      </x:c>
      <x:c r="C33" s="25"/>
      <x:c r="D33" s="50" t="str">
        <x:v>Payment dates and overlap with purchase obligations are Unavailable.</x:v>
      </x:c>
      <x:c r="E33" s="50"/>
      <x:c r="F33" s="50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9" hidden="0" customWidth="1"/>
    <x:col min="3" max="3" width="48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48" hidden="0" customWidth="1"/>
    <x:col min="9" max="9" width="48" hidden="0" customWidth="1"/>
    <x:col min="10" max="10" width="48" hidden="0" customWidth="1"/>
    <x:col min="11" max="11" width="12" hidden="0" customWidth="1"/>
    <x:col min="12" max="12" width="12" hidden="0" customWidth="1"/>
    <x:col min="13" max="13" width="65" hidden="0" customWidth="1"/>
    <x:col min="14" max="14" width="65" hidden="0" customWidth="1"/>
    <x:col min="15" max="15" width="65" hidden="0" customWidth="1"/>
  </x:cols>
  <x:sheetData>
    <x:row r="1" ht="45" customHeight="1">
      <x:c r="A1" s="56" t="str">
        <x:v>Key</x:v>
      </x:c>
      <x:c r="B1" s="56" t="str">
        <x:v>USD unless labelled x</x:v>
      </x:c>
      <x:c r="C1" s="56" t="str">
        <x:v>Reported input</x:v>
      </x:c>
      <x:c r="D1" s="56" t="str">
        <x:v>Period start</x:v>
      </x:c>
      <x:c r="E1" s="56" t="str">
        <x:v>Period end / as of</x:v>
      </x:c>
      <x:c r="F1" s="56" t="str">
        <x:v>Form</x:v>
      </x:c>
      <x:c r="G1" s="56" t="str">
        <x:v>Filed</x:v>
      </x:c>
      <x:c r="H1" s="56" t="str">
        <x:v>Accession</x:v>
      </x:c>
      <x:c r="I1" s="56" t="str">
        <x:v>Tag</x:v>
      </x:c>
      <x:c r="J1" s="56" t="str">
        <x:v>Context ID</x:v>
      </x:c>
      <x:c r="K1" s="56" t="str">
        <x:v>Scale</x:v>
      </x:c>
      <x:c r="L1" s="56" t="str">
        <x:v>Decimals</x:v>
      </x:c>
      <x:c r="M1" s="56" t="str">
        <x:v>Source</x:v>
      </x:c>
      <x:c r="N1" s="56" t="str">
        <x:v>Filing location</x:v>
      </x:c>
      <x:c r="O1" s="56" t="str">
        <x:v>Unavailable reason</x:v>
      </x:c>
    </x:row>
    <x:row r="2" ht="45" customHeight="1">
      <x:c r="A2" s="50" t="str">
        <x:v>ocf</x:v>
      </x:c>
      <x:c r="B2" s="60" t="n">
        <x:v>23103000000</x:v>
      </x:c>
      <x:c r="C2" s="50" t="str">
        <x:v>Reported operating cash flow</x:v>
      </x:c>
      <x:c r="D2" s="61" t="d">
        <x:v>2026-06-01T00:00:00.000Z</x:v>
      </x:c>
      <x:c r="E2" s="61" t="d">
        <x:v>2026-08-31T00:00:00.000Z</x:v>
      </x:c>
      <x:c r="F2" s="50" t="str">
        <x:v>10-Q</x:v>
      </x:c>
      <x:c r="G2" s="61" t="d">
        <x:v>2026-09-11T00:00:00.000Z</x:v>
      </x:c>
      <x:c r="H2" s="50" t="str">
        <x:v>0001193125-26-389274</x:v>
      </x:c>
      <x:c r="I2" s="50" t="str">
        <x:v>us-gaap:NetCashProvidedByUsedInOperatingActivities</x:v>
      </x:c>
      <x:c r="J2" s="50" t="str">
        <x:v>C_f2f9ad85-08df-4e59-8948-bfd9405570de</x:v>
      </x:c>
      <x:c r="K2" s="50" t="n">
        <x:v>6</x:v>
      </x:c>
      <x:c r="L2" s="50" t="str">
        <x:v>-6</x:v>
      </x:c>
      <x:c r="M2" s="50" t="str">
        <x:v>https://www.sec.gov/Archives/edgar/data/1341439/000119312526389274/orcl-20260831.htm</x:v>
      </x:c>
      <x:c r="N2" s="50" t="str">
        <x:v>10-Q cash flows, p. 5</x:v>
      </x:c>
      <x:c r="O2" s="50"/>
    </x:row>
    <x:row r="3" ht="45" customHeight="1">
      <x:c r="A3" s="50" t="str">
        <x:v>prepay</x:v>
      </x:c>
      <x:c r="B3" s="60" t="n">
        <x:v>11363000000</x:v>
      </x:c>
      <x:c r="C3" s="50" t="str">
        <x:v>Customer prepayments with a significant financing component</x:v>
      </x:c>
      <x:c r="D3" s="61" t="d">
        <x:v>2026-06-01T00:00:00.000Z</x:v>
      </x:c>
      <x:c r="E3" s="61" t="d">
        <x:v>2026-08-31T00:00:00.000Z</x:v>
      </x:c>
      <x:c r="F3" s="50" t="str">
        <x:v>10-Q</x:v>
      </x:c>
      <x:c r="G3" s="61" t="d">
        <x:v>2026-09-11T00:00:00.000Z</x:v>
      </x:c>
      <x:c r="H3" s="50" t="str">
        <x:v>0001193125-26-389274</x:v>
      </x:c>
      <x:c r="I3" s="50" t="str">
        <x:v>orcl:IncreaseDecreaseInDeferredRevenuesFromCustomerPrepaymentsWithSignificantFinancingComponent</x:v>
      </x:c>
      <x:c r="J3" s="50" t="str">
        <x:v>C_f2f9ad85-08df-4e59-8948-bfd9405570de</x:v>
      </x:c>
      <x:c r="K3" s="50" t="n">
        <x:v>6</x:v>
      </x:c>
      <x:c r="L3" s="50" t="str">
        <x:v>-6</x:v>
      </x:c>
      <x:c r="M3" s="50" t="str">
        <x:v>https://www.sec.gov/Archives/edgar/data/1341439/000119312526389274/orcl-20260831.htm</x:v>
      </x:c>
      <x:c r="N3" s="50" t="str">
        <x:v>10-Q cash flows, p. 5</x:v>
      </x:c>
      <x:c r="O3" s="50"/>
    </x:row>
    <x:row r="4" ht="45" customHeight="1">
      <x:c r="A4" s="50" t="str">
        <x:v>capex</x:v>
      </x:c>
      <x:c r="B4" s="60" t="n">
        <x:v>28499000000</x:v>
      </x:c>
      <x:c r="C4" s="50" t="str">
        <x:v>Cash capital expenditures</x:v>
      </x:c>
      <x:c r="D4" s="61" t="d">
        <x:v>2026-06-01T00:00:00.000Z</x:v>
      </x:c>
      <x:c r="E4" s="61" t="d">
        <x:v>2026-08-31T00:00:00.000Z</x:v>
      </x:c>
      <x:c r="F4" s="50" t="str">
        <x:v>10-Q</x:v>
      </x:c>
      <x:c r="G4" s="61" t="d">
        <x:v>2026-09-11T00:00:00.000Z</x:v>
      </x:c>
      <x:c r="H4" s="50" t="str">
        <x:v>0001193125-26-389274</x:v>
      </x:c>
      <x:c r="I4" s="50" t="str">
        <x:v>us-gaap:PaymentsToAcquirePropertyPlantAndEquipment</x:v>
      </x:c>
      <x:c r="J4" s="50" t="str">
        <x:v>C_f2f9ad85-08df-4e59-8948-bfd9405570de</x:v>
      </x:c>
      <x:c r="K4" s="50" t="n">
        <x:v>6</x:v>
      </x:c>
      <x:c r="L4" s="50" t="str">
        <x:v>-6</x:v>
      </x:c>
      <x:c r="M4" s="50" t="str">
        <x:v>https://www.sec.gov/Archives/edgar/data/1341439/000119312526389274/orcl-20260831.htm</x:v>
      </x:c>
      <x:c r="N4" s="50" t="str">
        <x:v>10-Q cash flows, p. 5</x:v>
      </x:c>
      <x:c r="O4" s="50"/>
    </x:row>
    <x:row r="5" ht="45" customHeight="1">
      <x:c r="A5" s="50" t="str">
        <x:v>investment_purchases</x:v>
      </x:c>
      <x:c r="B5" s="60" t="n">
        <x:v>306000000</x:v>
      </x:c>
      <x:c r="C5" s="50" t="str">
        <x:v>Purchases of investments</x:v>
      </x:c>
      <x:c r="D5" s="61" t="d">
        <x:v>2026-06-01T00:00:00.000Z</x:v>
      </x:c>
      <x:c r="E5" s="61" t="d">
        <x:v>2026-08-31T00:00:00.000Z</x:v>
      </x:c>
      <x:c r="F5" s="50" t="str">
        <x:v>10-Q</x:v>
      </x:c>
      <x:c r="G5" s="61" t="d">
        <x:v>2026-09-11T00:00:00.000Z</x:v>
      </x:c>
      <x:c r="H5" s="50" t="str">
        <x:v>0001193125-26-389274</x:v>
      </x:c>
      <x:c r="I5" s="50" t="str">
        <x:v>us-gaap:PaymentsToAcquireInvestments</x:v>
      </x:c>
      <x:c r="J5" s="50" t="str">
        <x:v>C_f2f9ad85-08df-4e59-8948-bfd9405570de</x:v>
      </x:c>
      <x:c r="K5" s="50" t="n">
        <x:v>6</x:v>
      </x:c>
      <x:c r="L5" s="50" t="str">
        <x:v>-6</x:v>
      </x:c>
      <x:c r="M5" s="50" t="str">
        <x:v>https://www.sec.gov/Archives/edgar/data/1341439/000119312526389274/orcl-20260831.htm</x:v>
      </x:c>
      <x:c r="N5" s="50" t="str">
        <x:v>10-Q cash flows, p. 5</x:v>
      </x:c>
      <x:c r="O5" s="50"/>
    </x:row>
    <x:row r="6" ht="45" customHeight="1">
      <x:c r="A6" s="50" t="str">
        <x:v>investment_proceeds</x:v>
      </x:c>
      <x:c r="B6" s="60" t="n">
        <x:v>225000000</x:v>
      </x:c>
      <x:c r="C6" s="50" t="str">
        <x:v>Sales and maturities of investments</x:v>
      </x:c>
      <x:c r="D6" s="61" t="d">
        <x:v>2026-06-01T00:00:00.000Z</x:v>
      </x:c>
      <x:c r="E6" s="61" t="d">
        <x:v>2026-08-31T00:00:00.000Z</x:v>
      </x:c>
      <x:c r="F6" s="50" t="str">
        <x:v>10-Q</x:v>
      </x:c>
      <x:c r="G6" s="61" t="d">
        <x:v>2026-09-11T00:00:00.000Z</x:v>
      </x:c>
      <x:c r="H6" s="50" t="str">
        <x:v>0001193125-26-389274</x:v>
      </x:c>
      <x:c r="I6" s="50" t="str">
        <x:v>us-gaap:ProceedsFromSaleAndMaturityOfAvailableForSaleSecurities</x:v>
      </x:c>
      <x:c r="J6" s="50" t="str">
        <x:v>C_f2f9ad85-08df-4e59-8948-bfd9405570de</x:v>
      </x:c>
      <x:c r="K6" s="50" t="n">
        <x:v>6</x:v>
      </x:c>
      <x:c r="L6" s="50" t="str">
        <x:v>-6</x:v>
      </x:c>
      <x:c r="M6" s="50" t="str">
        <x:v>https://www.sec.gov/Archives/edgar/data/1341439/000119312526389274/orcl-20260831.htm</x:v>
      </x:c>
      <x:c r="N6" s="50" t="str">
        <x:v>10-Q cash flows, p. 5</x:v>
      </x:c>
      <x:c r="O6" s="50"/>
    </x:row>
    <x:row r="7" ht="45" customHeight="1">
      <x:c r="A7" s="50" t="str">
        <x:v>investing</x:v>
      </x:c>
      <x:c r="B7" s="60" t="n">
        <x:v>-28580000000</x:v>
      </x:c>
      <x:c r="C7" s="50" t="str">
        <x:v>Reported net investing cash flow</x:v>
      </x:c>
      <x:c r="D7" s="61" t="d">
        <x:v>2026-06-01T00:00:00.000Z</x:v>
      </x:c>
      <x:c r="E7" s="61" t="d">
        <x:v>2026-08-31T00:00:00.000Z</x:v>
      </x:c>
      <x:c r="F7" s="50" t="str">
        <x:v>10-Q</x:v>
      </x:c>
      <x:c r="G7" s="61" t="d">
        <x:v>2026-09-11T00:00:00.000Z</x:v>
      </x:c>
      <x:c r="H7" s="50" t="str">
        <x:v>0001193125-26-389274</x:v>
      </x:c>
      <x:c r="I7" s="50" t="str">
        <x:v>us-gaap:NetCashProvidedByUsedInInvestingActivities</x:v>
      </x:c>
      <x:c r="J7" s="50" t="str">
        <x:v>C_f2f9ad85-08df-4e59-8948-bfd9405570de</x:v>
      </x:c>
      <x:c r="K7" s="50" t="n">
        <x:v>6</x:v>
      </x:c>
      <x:c r="L7" s="50" t="str">
        <x:v>-6</x:v>
      </x:c>
      <x:c r="M7" s="50" t="str">
        <x:v>https://www.sec.gov/Archives/edgar/data/1341439/000119312526389274/orcl-20260831.htm</x:v>
      </x:c>
      <x:c r="N7" s="50" t="str">
        <x:v>10-Q cash flows, p. 5</x:v>
      </x:c>
      <x:c r="O7" s="50"/>
    </x:row>
    <x:row r="8" ht="45" customHeight="1">
      <x:c r="A8" s="50" t="str">
        <x:v>equity</x:v>
      </x:c>
      <x:c r="B8" s="60" t="n">
        <x:v>19909000000</x:v>
      </x:c>
      <x:c r="C8" s="50" t="str">
        <x:v>ATM common-stock proceeds, net</x:v>
      </x:c>
      <x:c r="D8" s="61" t="d">
        <x:v>2026-06-01T00:00:00.000Z</x:v>
      </x:c>
      <x:c r="E8" s="61" t="d">
        <x:v>2026-08-31T00:00:00.000Z</x:v>
      </x:c>
      <x:c r="F8" s="50" t="str">
        <x:v>10-Q</x:v>
      </x:c>
      <x:c r="G8" s="61" t="d">
        <x:v>2026-09-11T00:00:00.000Z</x:v>
      </x:c>
      <x:c r="H8" s="50" t="str">
        <x:v>0001193125-26-389274</x:v>
      </x:c>
      <x:c r="I8" s="50" t="str">
        <x:v>us-gaap:ProceedsFromIssuanceOfCommonStock</x:v>
      </x:c>
      <x:c r="J8" s="50" t="str">
        <x:v>C_f2f9ad85-08df-4e59-8948-bfd9405570de</x:v>
      </x:c>
      <x:c r="K8" s="50" t="n">
        <x:v>6</x:v>
      </x:c>
      <x:c r="L8" s="50" t="str">
        <x:v>-6</x:v>
      </x:c>
      <x:c r="M8" s="50" t="str">
        <x:v>https://www.sec.gov/Archives/edgar/data/1341439/000119312526389274/orcl-20260831.htm</x:v>
      </x:c>
      <x:c r="N8" s="50" t="str">
        <x:v>10-Q cash flows, p. 5</x:v>
      </x:c>
      <x:c r="O8" s="50"/>
    </x:row>
    <x:row r="9" ht="45" customHeight="1">
      <x:c r="A9" s="50" t="str">
        <x:v>employee</x:v>
      </x:c>
      <x:c r="B9" s="60" t="n">
        <x:v>41000000</x:v>
      </x:c>
      <x:c r="C9" s="50" t="str">
        <x:v>Net employee stock-program proceeds</x:v>
      </x:c>
      <x:c r="D9" s="61" t="d">
        <x:v>2026-06-01T00:00:00.000Z</x:v>
      </x:c>
      <x:c r="E9" s="61" t="d">
        <x:v>2026-08-31T00:00:00.000Z</x:v>
      </x:c>
      <x:c r="F9" s="50" t="str">
        <x:v>10-Q</x:v>
      </x:c>
      <x:c r="G9" s="61" t="d">
        <x:v>2026-09-11T00:00:00.000Z</x:v>
      </x:c>
      <x:c r="H9" s="50" t="str">
        <x:v>0001193125-26-389274</x:v>
      </x:c>
      <x:c r="I9" s="50" t="str">
        <x:v>us-gaap:ProceedsFromIssuanceOfSharesUnderIncentiveAndShareBasedCompensationPlans</x:v>
      </x:c>
      <x:c r="J9" s="50" t="str">
        <x:v>C_f2f9ad85-08df-4e59-8948-bfd9405570de</x:v>
      </x:c>
      <x:c r="K9" s="50" t="n">
        <x:v>6</x:v>
      </x:c>
      <x:c r="L9" s="50" t="str">
        <x:v>-6</x:v>
      </x:c>
      <x:c r="M9" s="50" t="str">
        <x:v>https://www.sec.gov/Archives/edgar/data/1341439/000119312526389274/orcl-20260831.htm</x:v>
      </x:c>
      <x:c r="N9" s="50" t="str">
        <x:v>10-Q cash flows, p. 5</x:v>
      </x:c>
      <x:c r="O9" s="50"/>
    </x:row>
    <x:row r="10" ht="45" customHeight="1">
      <x:c r="A10" s="50" t="str">
        <x:v>dividends</x:v>
      </x:c>
      <x:c r="B10" s="60" t="n">
        <x:v>1565000000</x:v>
      </x:c>
      <x:c r="C10" s="50" t="str">
        <x:v>Cash dividends to stockholders</x:v>
      </x:c>
      <x:c r="D10" s="61" t="d">
        <x:v>2026-06-01T00:00:00.000Z</x:v>
      </x:c>
      <x:c r="E10" s="61" t="d">
        <x:v>2026-08-31T00:00:00.000Z</x:v>
      </x:c>
      <x:c r="F10" s="50" t="str">
        <x:v>10-Q</x:v>
      </x:c>
      <x:c r="G10" s="61" t="d">
        <x:v>2026-09-11T00:00:00.000Z</x:v>
      </x:c>
      <x:c r="H10" s="50" t="str">
        <x:v>0001193125-26-389274</x:v>
      </x:c>
      <x:c r="I10" s="50" t="str">
        <x:v>us-gaap:PaymentsOfDividendsCommonStock</x:v>
      </x:c>
      <x:c r="J10" s="50" t="str">
        <x:v>C_f2f9ad85-08df-4e59-8948-bfd9405570de</x:v>
      </x:c>
      <x:c r="K10" s="50" t="n">
        <x:v>6</x:v>
      </x:c>
      <x:c r="L10" s="50" t="str">
        <x:v>-6</x:v>
      </x:c>
      <x:c r="M10" s="50" t="str">
        <x:v>https://www.sec.gov/Archives/edgar/data/1341439/000119312526389274/orcl-20260831.htm</x:v>
      </x:c>
      <x:c r="N10" s="50" t="str">
        <x:v>10-Q cash flows, p. 5</x:v>
      </x:c>
      <x:c r="O10" s="50"/>
    </x:row>
    <x:row r="11" ht="45" customHeight="1">
      <x:c r="A11" s="50" t="str">
        <x:v>cp</x:v>
      </x:c>
      <x:c r="B11" s="60" t="n">
        <x:v>0</x:v>
      </x:c>
      <x:c r="C11" s="50" t="str">
        <x:v>Commercial-paper repayments, cash-flow row</x:v>
      </x:c>
      <x:c r="D11" s="61" t="d">
        <x:v>2026-06-01T00:00:00.000Z</x:v>
      </x:c>
      <x:c r="E11" s="61" t="d">
        <x:v>2026-08-31T00:00:00.000Z</x:v>
      </x:c>
      <x:c r="F11" s="50" t="str">
        <x:v>10-Q</x:v>
      </x:c>
      <x:c r="G11" s="61" t="d">
        <x:v>2026-09-11T00:00:00.000Z</x:v>
      </x:c>
      <x:c r="H11" s="50" t="str">
        <x:v>0001193125-26-389274</x:v>
      </x:c>
      <x:c r="I11" s="50" t="str">
        <x:v>us-gaap:RepaymentsOfCommercialPaper</x:v>
      </x:c>
      <x:c r="J11" s="50" t="str">
        <x:v>C_f2f9ad85-08df-4e59-8948-bfd9405570de</x:v>
      </x:c>
      <x:c r="K11" s="50" t="n">
        <x:v>6</x:v>
      </x:c>
      <x:c r="L11" s="50" t="str">
        <x:v>-6</x:v>
      </x:c>
      <x:c r="M11" s="50" t="str">
        <x:v>https://www.sec.gov/Archives/edgar/data/1341439/000119312526389274/orcl-20260831.htm</x:v>
      </x:c>
      <x:c r="N11" s="50" t="str">
        <x:v>10-Q cash flows, p. 5</x:v>
      </x:c>
      <x:c r="O11" s="50"/>
    </x:row>
    <x:row r="12" ht="45" customHeight="1">
      <x:c r="A12" s="50" t="str">
        <x:v>capex_financing</x:v>
      </x:c>
      <x:c r="B12" s="60" t="n">
        <x:v>-830000000</x:v>
      </x:c>
      <x:c r="C12" s="50" t="str">
        <x:v>Net capex-financing cash flow</x:v>
      </x:c>
      <x:c r="D12" s="61" t="d">
        <x:v>2026-06-01T00:00:00.000Z</x:v>
      </x:c>
      <x:c r="E12" s="61" t="d">
        <x:v>2026-08-31T00:00:00.000Z</x:v>
      </x:c>
      <x:c r="F12" s="50" t="str">
        <x:v>10-Q</x:v>
      </x:c>
      <x:c r="G12" s="61" t="d">
        <x:v>2026-09-11T00:00:00.000Z</x:v>
      </x:c>
      <x:c r="H12" s="50" t="str">
        <x:v>0001193125-26-389274</x:v>
      </x:c>
      <x:c r="I12" s="50" t="str">
        <x:v>orcl:ProceedsFromRepaymentsOfShort-TermFinancingRelatedToCapitalExpendituresNet</x:v>
      </x:c>
      <x:c r="J12" s="50" t="str">
        <x:v>C_f2f9ad85-08df-4e59-8948-bfd9405570de</x:v>
      </x:c>
      <x:c r="K12" s="50" t="n">
        <x:v>6</x:v>
      </x:c>
      <x:c r="L12" s="50" t="str">
        <x:v>-6</x:v>
      </x:c>
      <x:c r="M12" s="50" t="str">
        <x:v>https://www.sec.gov/Archives/edgar/data/1341439/000119312526389274/orcl-20260831.htm</x:v>
      </x:c>
      <x:c r="N12" s="50" t="str">
        <x:v>10-Q cash flows, p. 5</x:v>
      </x:c>
      <x:c r="O12" s="50"/>
    </x:row>
    <x:row r="13" ht="45" customHeight="1">
      <x:c r="A13" s="50" t="str">
        <x:v>debt_repayments</x:v>
      </x:c>
      <x:c r="B13" s="60" t="n">
        <x:v>4202000000</x:v>
      </x:c>
      <x:c r="C13" s="50" t="str">
        <x:v>Senior notes, term loans and other repayments</x:v>
      </x:c>
      <x:c r="D13" s="61" t="d">
        <x:v>2026-06-01T00:00:00.000Z</x:v>
      </x:c>
      <x:c r="E13" s="61" t="d">
        <x:v>2026-08-31T00:00:00.000Z</x:v>
      </x:c>
      <x:c r="F13" s="50" t="str">
        <x:v>10-Q</x:v>
      </x:c>
      <x:c r="G13" s="61" t="d">
        <x:v>2026-09-11T00:00:00.000Z</x:v>
      </x:c>
      <x:c r="H13" s="50" t="str">
        <x:v>0001193125-26-389274</x:v>
      </x:c>
      <x:c r="I13" s="50" t="str">
        <x:v>us-gaap:RepaymentsOfDebt</x:v>
      </x:c>
      <x:c r="J13" s="50" t="str">
        <x:v>C_f2f9ad85-08df-4e59-8948-bfd9405570de</x:v>
      </x:c>
      <x:c r="K13" s="50" t="n">
        <x:v>6</x:v>
      </x:c>
      <x:c r="L13" s="50" t="str">
        <x:v>-6</x:v>
      </x:c>
      <x:c r="M13" s="50" t="str">
        <x:v>https://www.sec.gov/Archives/edgar/data/1341439/000119312526389274/orcl-20260831.htm</x:v>
      </x:c>
      <x:c r="N13" s="50" t="str">
        <x:v>10-Q cash flows, p. 5</x:v>
      </x:c>
      <x:c r="O13" s="50"/>
    </x:row>
    <x:row r="14" ht="45" customHeight="1">
      <x:c r="A14" s="50" t="str">
        <x:v>other_financing</x:v>
      </x:c>
      <x:c r="B14" s="60" t="n">
        <x:v>-242000000</x:v>
      </x:c>
      <x:c r="C14" s="50" t="str">
        <x:v>Other financing cash flow, net</x:v>
      </x:c>
      <x:c r="D14" s="61" t="d">
        <x:v>2026-06-01T00:00:00.000Z</x:v>
      </x:c>
      <x:c r="E14" s="61" t="d">
        <x:v>2026-08-31T00:00:00.000Z</x:v>
      </x:c>
      <x:c r="F14" s="50" t="str">
        <x:v>10-Q</x:v>
      </x:c>
      <x:c r="G14" s="61" t="d">
        <x:v>2026-09-11T00:00:00.000Z</x:v>
      </x:c>
      <x:c r="H14" s="50" t="str">
        <x:v>0001193125-26-389274</x:v>
      </x:c>
      <x:c r="I14" s="50" t="str">
        <x:v>us-gaap:ProceedsFromPaymentsForOtherFinancingActivities</x:v>
      </x:c>
      <x:c r="J14" s="50" t="str">
        <x:v>C_f2f9ad85-08df-4e59-8948-bfd9405570de</x:v>
      </x:c>
      <x:c r="K14" s="50" t="n">
        <x:v>6</x:v>
      </x:c>
      <x:c r="L14" s="50" t="str">
        <x:v>-6</x:v>
      </x:c>
      <x:c r="M14" s="50" t="str">
        <x:v>https://www.sec.gov/Archives/edgar/data/1341439/000119312526389274/orcl-20260831.htm</x:v>
      </x:c>
      <x:c r="N14" s="50" t="str">
        <x:v>10-Q cash flows, p. 5</x:v>
      </x:c>
      <x:c r="O14" s="50"/>
    </x:row>
    <x:row r="15" ht="45" customHeight="1">
      <x:c r="A15" s="50" t="str">
        <x:v>financing</x:v>
      </x:c>
      <x:c r="B15" s="60" t="n">
        <x:v>13111000000</x:v>
      </x:c>
      <x:c r="C15" s="50" t="str">
        <x:v>Reported net financing cash flow</x:v>
      </x:c>
      <x:c r="D15" s="61" t="d">
        <x:v>2026-06-01T00:00:00.000Z</x:v>
      </x:c>
      <x:c r="E15" s="61" t="d">
        <x:v>2026-08-31T00:00:00.000Z</x:v>
      </x:c>
      <x:c r="F15" s="50" t="str">
        <x:v>10-Q</x:v>
      </x:c>
      <x:c r="G15" s="61" t="d">
        <x:v>2026-09-11T00:00:00.000Z</x:v>
      </x:c>
      <x:c r="H15" s="50" t="str">
        <x:v>0001193125-26-389274</x:v>
      </x:c>
      <x:c r="I15" s="50" t="str">
        <x:v>us-gaap:NetCashProvidedByUsedInFinancingActivities</x:v>
      </x:c>
      <x:c r="J15" s="50" t="str">
        <x:v>C_f2f9ad85-08df-4e59-8948-bfd9405570de</x:v>
      </x:c>
      <x:c r="K15" s="50" t="n">
        <x:v>6</x:v>
      </x:c>
      <x:c r="L15" s="50" t="str">
        <x:v>-6</x:v>
      </x:c>
      <x:c r="M15" s="50" t="str">
        <x:v>https://www.sec.gov/Archives/edgar/data/1341439/000119312526389274/orcl-20260831.htm</x:v>
      </x:c>
      <x:c r="N15" s="50" t="str">
        <x:v>10-Q cash flows, p. 5</x:v>
      </x:c>
      <x:c r="O15" s="50"/>
    </x:row>
    <x:row r="16" ht="45" customHeight="1">
      <x:c r="A16" s="50" t="str">
        <x:v>fx</x:v>
      </x:c>
      <x:c r="B16" s="60" t="n">
        <x:v>11000000</x:v>
      </x:c>
      <x:c r="C16" s="50" t="str">
        <x:v>Exchange-rate effect on cash</x:v>
      </x:c>
      <x:c r="D16" s="61" t="d">
        <x:v>2026-06-01T00:00:00.000Z</x:v>
      </x:c>
      <x:c r="E16" s="61" t="d">
        <x:v>2026-08-31T00:00:00.000Z</x:v>
      </x:c>
      <x:c r="F16" s="50" t="str">
        <x:v>10-Q</x:v>
      </x:c>
      <x:c r="G16" s="61" t="d">
        <x:v>2026-09-11T00:00:00.000Z</x:v>
      </x:c>
      <x:c r="H16" s="50" t="str">
        <x:v>0001193125-26-389274</x:v>
      </x:c>
      <x:c r="I16" s="50" t="str">
        <x:v>us-gaap:EffectOfExchangeRateOnCashCashEquivalentsRestrictedCashAndRestrictedCashEquivalentsIncludingDisposalGroupAndDiscontinuedOperations</x:v>
      </x:c>
      <x:c r="J16" s="50" t="str">
        <x:v>C_f2f9ad85-08df-4e59-8948-bfd9405570de</x:v>
      </x:c>
      <x:c r="K16" s="50" t="n">
        <x:v>6</x:v>
      </x:c>
      <x:c r="L16" s="50" t="str">
        <x:v>-6</x:v>
      </x:c>
      <x:c r="M16" s="50" t="str">
        <x:v>https://www.sec.gov/Archives/edgar/data/1341439/000119312526389274/orcl-20260831.htm</x:v>
      </x:c>
      <x:c r="N16" s="50" t="str">
        <x:v>10-Q cash flows, p. 5</x:v>
      </x:c>
      <x:c r="O16" s="50"/>
    </x:row>
    <x:row r="17" ht="45" customHeight="1">
      <x:c r="A17" s="50" t="str">
        <x:v>change</x:v>
      </x:c>
      <x:c r="B17" s="60" t="n">
        <x:v>7645000000</x:v>
      </x:c>
      <x:c r="C17" s="50" t="str">
        <x:v>Reported increase in cash including restricted cash</x:v>
      </x:c>
      <x:c r="D17" s="61" t="d">
        <x:v>2026-06-01T00:00:00.000Z</x:v>
      </x:c>
      <x:c r="E17" s="61" t="d">
        <x:v>2026-08-31T00:00:00.000Z</x:v>
      </x:c>
      <x:c r="F17" s="50" t="str">
        <x:v>10-Q</x:v>
      </x:c>
      <x:c r="G17" s="61" t="d">
        <x:v>2026-09-11T00:00:00.000Z</x:v>
      </x:c>
      <x:c r="H17" s="50" t="str">
        <x:v>0001193125-26-389274</x:v>
      </x:c>
      <x:c r="I17" s="50" t="str">
        <x:v>us-gaap:CashCashEquivalentsRestrictedCashAndRestrictedCashEquivalentsPeriodIncreaseDecreaseIncludingExchangeRateEffect</x:v>
      </x:c>
      <x:c r="J17" s="50" t="str">
        <x:v>C_f2f9ad85-08df-4e59-8948-bfd9405570de</x:v>
      </x:c>
      <x:c r="K17" s="50" t="n">
        <x:v>6</x:v>
      </x:c>
      <x:c r="L17" s="50" t="str">
        <x:v>-6</x:v>
      </x:c>
      <x:c r="M17" s="50" t="str">
        <x:v>https://www.sec.gov/Archives/edgar/data/1341439/000119312526389274/orcl-20260831.htm</x:v>
      </x:c>
      <x:c r="N17" s="50" t="str">
        <x:v>10-Q cash flows, p. 5</x:v>
      </x:c>
      <x:c r="O17" s="50"/>
    </x:row>
    <x:row r="18" ht="45" customHeight="1">
      <x:c r="A18" s="50" t="str">
        <x:v>unpaid_capex</x:v>
      </x:c>
      <x:c r="B18" s="60" t="n">
        <x:v>6247000000</x:v>
      </x:c>
      <x:c r="C18" s="50" t="str">
        <x:v>Unpaid capital expenditures, noncash disclosure</x:v>
      </x:c>
      <x:c r="D18" s="61" t="d">
        <x:v>2026-06-01T00:00:00.000Z</x:v>
      </x:c>
      <x:c r="E18" s="61" t="d">
        <x:v>2026-08-31T00:00:00.000Z</x:v>
      </x:c>
      <x:c r="F18" s="50" t="str">
        <x:v>10-Q</x:v>
      </x:c>
      <x:c r="G18" s="61" t="d">
        <x:v>2026-09-11T00:00:00.000Z</x:v>
      </x:c>
      <x:c r="H18" s="50" t="str">
        <x:v>0001193125-26-389274</x:v>
      </x:c>
      <x:c r="I18" s="50" t="str">
        <x:v>us-gaap:CapitalExpendituresIncurredButNotYetPaid</x:v>
      </x:c>
      <x:c r="J18" s="50" t="str">
        <x:v>C_f2f9ad85-08df-4e59-8948-bfd9405570de</x:v>
      </x:c>
      <x:c r="K18" s="50" t="n">
        <x:v>6</x:v>
      </x:c>
      <x:c r="L18" s="50" t="str">
        <x:v>-6</x:v>
      </x:c>
      <x:c r="M18" s="50" t="str">
        <x:v>https://www.sec.gov/Archives/edgar/data/1341439/000119312526389274/orcl-20260831.htm</x:v>
      </x:c>
      <x:c r="N18" s="50" t="str">
        <x:v>10-Q cash flows, p. 5</x:v>
      </x:c>
      <x:c r="O18" s="50"/>
    </x:row>
    <x:row r="19" ht="45" customHeight="1">
      <x:c r="A19" s="50" t="str">
        <x:v>opening_total</x:v>
      </x:c>
      <x:c r="B19" s="60" t="n">
        <x:v>31289000000</x:v>
      </x:c>
      <x:c r="C19" s="50" t="str">
        <x:v>Opening cash including restricted cash</x:v>
      </x:c>
      <x:c r="D19" s="61"/>
      <x:c r="E19" s="61" t="d">
        <x:v>2026-05-31T00:00:00.000Z</x:v>
      </x:c>
      <x:c r="F19" s="50" t="str">
        <x:v>10-Q</x:v>
      </x:c>
      <x:c r="G19" s="61" t="d">
        <x:v>2026-09-11T00:00:00.000Z</x:v>
      </x:c>
      <x:c r="H19" s="50" t="str">
        <x:v>0001193125-26-389274</x:v>
      </x:c>
      <x:c r="I19" s="50" t="str">
        <x:v>us-gaap:CashCashEquivalentsRestrictedCashAndRestrictedCashEquivalentsIncludingDisposalGroupAndDiscontinuedOperations</x:v>
      </x:c>
      <x:c r="J19" s="50" t="str">
        <x:v>C_12e5037a-2a82-46f6-80d2-b607649a6bc1</x:v>
      </x:c>
      <x:c r="K19" s="50" t="n">
        <x:v>6</x:v>
      </x:c>
      <x:c r="L19" s="50" t="str">
        <x:v>-6</x:v>
      </x:c>
      <x:c r="M19" s="50" t="str">
        <x:v>https://www.sec.gov/Archives/edgar/data/1341439/000119312526389274/orcl-20260831.htm</x:v>
      </x:c>
      <x:c r="N19" s="50" t="str">
        <x:v>10-Q balance sheet p. 1; cash reconciliation pp. 5–6</x:v>
      </x:c>
      <x:c r="O19" s="50"/>
    </x:row>
    <x:row r="20" ht="45" customHeight="1">
      <x:c r="A20" s="50" t="str">
        <x:v>closing_total</x:v>
      </x:c>
      <x:c r="B20" s="60" t="n">
        <x:v>38934000000</x:v>
      </x:c>
      <x:c r="C20" s="50" t="str">
        <x:v>Closing cash including restricted cash</x:v>
      </x:c>
      <x:c r="D20" s="61"/>
      <x:c r="E20" s="61" t="d">
        <x:v>2026-08-31T00:00:00.000Z</x:v>
      </x:c>
      <x:c r="F20" s="50" t="str">
        <x:v>10-Q</x:v>
      </x:c>
      <x:c r="G20" s="61" t="d">
        <x:v>2026-09-11T00:00:00.000Z</x:v>
      </x:c>
      <x:c r="H20" s="50" t="str">
        <x:v>0001193125-26-389274</x:v>
      </x:c>
      <x:c r="I20" s="50" t="str">
        <x:v>us-gaap:CashCashEquivalentsRestrictedCashAndRestrictedCashEquivalentsIncludingDisposalGroupAndDiscontinuedOperations</x:v>
      </x:c>
      <x:c r="J20" s="50" t="str">
        <x:v>C_6aa4717d-0551-43f7-9cf4-c8a0049a656e</x:v>
      </x:c>
      <x:c r="K20" s="50" t="n">
        <x:v>6</x:v>
      </x:c>
      <x:c r="L20" s="50" t="str">
        <x:v>-6</x:v>
      </x:c>
      <x:c r="M20" s="50" t="str">
        <x:v>https://www.sec.gov/Archives/edgar/data/1341439/000119312526389274/orcl-20260831.htm</x:v>
      </x:c>
      <x:c r="N20" s="50" t="str">
        <x:v>10-Q balance sheet p. 1; cash reconciliation pp. 5–6</x:v>
      </x:c>
      <x:c r="O20" s="50"/>
    </x:row>
    <x:row r="21" ht="45" customHeight="1">
      <x:c r="A21" s="50" t="str">
        <x:v>closing_cash</x:v>
      </x:c>
      <x:c r="B21" s="60" t="n">
        <x:v>36369000000</x:v>
      </x:c>
      <x:c r="C21" s="50" t="str">
        <x:v>Cash and equivalents excluding restricted cash</x:v>
      </x:c>
      <x:c r="D21" s="61"/>
      <x:c r="E21" s="61" t="d">
        <x:v>2026-08-31T00:00:00.000Z</x:v>
      </x:c>
      <x:c r="F21" s="50" t="str">
        <x:v>10-Q</x:v>
      </x:c>
      <x:c r="G21" s="61" t="d">
        <x:v>2026-09-11T00:00:00.000Z</x:v>
      </x:c>
      <x:c r="H21" s="50" t="str">
        <x:v>0001193125-26-389274</x:v>
      </x:c>
      <x:c r="I21" s="50" t="str">
        <x:v>us-gaap:CashAndCashEquivalentsAtCarryingValue</x:v>
      </x:c>
      <x:c r="J21" s="50" t="str">
        <x:v>C_6aa4717d-0551-43f7-9cf4-c8a0049a656e</x:v>
      </x:c>
      <x:c r="K21" s="50" t="n">
        <x:v>6</x:v>
      </x:c>
      <x:c r="L21" s="50" t="str">
        <x:v>-6</x:v>
      </x:c>
      <x:c r="M21" s="50" t="str">
        <x:v>https://www.sec.gov/Archives/edgar/data/1341439/000119312526389274/orcl-20260831.htm</x:v>
      </x:c>
      <x:c r="N21" s="50" t="str">
        <x:v>10-Q balance sheet p. 1; cash reconciliation pp. 5–6</x:v>
      </x:c>
      <x:c r="O21" s="50"/>
    </x:row>
    <x:row r="22" ht="45" customHeight="1">
      <x:c r="A22" s="50" t="str">
        <x:v>not_commenced</x:v>
      </x:c>
      <x:c r="B22" s="60" t="n">
        <x:v>288000000000</x:v>
      </x:c>
      <x:c r="C22" s="50" t="str">
        <x:v>Operating leases not yet commenced</x:v>
      </x:c>
      <x:c r="D22" s="61"/>
      <x:c r="E22" s="61" t="d">
        <x:v>2026-08-31T00:00:00.000Z</x:v>
      </x:c>
      <x:c r="F22" s="50" t="str">
        <x:v>10-Q</x:v>
      </x:c>
      <x:c r="G22" s="61" t="d">
        <x:v>2026-09-11T00:00:00.000Z</x:v>
      </x:c>
      <x:c r="H22" s="50" t="str">
        <x:v>0001193125-26-389274</x:v>
      </x:c>
      <x:c r="I22" s="50" t="str">
        <x:v>orcl:LesseeOperatingLeaseLeaseNotYetCommencedLeaseCommitments</x:v>
      </x:c>
      <x:c r="J22" s="50" t="str">
        <x:v>C_6aa4717d-0551-43f7-9cf4-c8a0049a656e</x:v>
      </x:c>
      <x:c r="K22" s="50" t="n">
        <x:v>9</x:v>
      </x:c>
      <x:c r="L22" s="50" t="str">
        <x:v>-9</x:v>
      </x:c>
      <x:c r="M22" s="50" t="str">
        <x:v>https://www.sec.gov/Archives/edgar/data/1341439/000119312526389274/orcl-20260831.htm</x:v>
      </x:c>
      <x:c r="N22" s="50" t="str">
        <x:v>10-Q Note 6, p. 13</x:v>
      </x:c>
      <x:c r="O22" s="50"/>
    </x:row>
    <x:row r="23" ht="45" customHeight="1">
      <x:c r="A23" s="50" t="str">
        <x:v>operating_0</x:v>
      </x:c>
      <x:c r="B23" s="60" t="n">
        <x:v>3219000000</x:v>
      </x:c>
      <x:c r="C23" s="50" t="str">
        <x:v>Operating payments: Remainder FY2027</x:v>
      </x:c>
      <x:c r="D23" s="61"/>
      <x:c r="E23" s="61" t="d">
        <x:v>2026-08-31T00:00:00.000Z</x:v>
      </x:c>
      <x:c r="F23" s="50" t="str">
        <x:v>10-Q</x:v>
      </x:c>
      <x:c r="G23" s="61" t="d">
        <x:v>2026-09-11T00:00:00.000Z</x:v>
      </x:c>
      <x:c r="H23" s="50" t="str">
        <x:v>0001193125-26-389274</x:v>
      </x:c>
      <x:c r="I23" s="50" t="str">
        <x:v>us-gaap:LesseeOperatingLeaseLiabilityPaymentsRemainderOfFiscalYear</x:v>
      </x:c>
      <x:c r="J23" s="50" t="str">
        <x:v>C_6aa4717d-0551-43f7-9cf4-c8a0049a656e</x:v>
      </x:c>
      <x:c r="K23" s="50" t="n">
        <x:v>6</x:v>
      </x:c>
      <x:c r="L23" s="50" t="str">
        <x:v>-6</x:v>
      </x:c>
      <x:c r="M23" s="50" t="str">
        <x:v>https://www.sec.gov/Archives/edgar/data/1341439/000119312526389274/orcl-20260831.htm</x:v>
      </x:c>
      <x:c r="N23" s="50" t="str">
        <x:v>10-Q Note 6, pp. 12–13</x:v>
      </x:c>
      <x:c r="O23" s="50"/>
    </x:row>
    <x:row r="24" ht="45" customHeight="1">
      <x:c r="A24" s="50" t="str">
        <x:v>operating_1</x:v>
      </x:c>
      <x:c r="B24" s="60" t="n">
        <x:v>4135000000</x:v>
      </x:c>
      <x:c r="C24" s="50" t="str">
        <x:v>Operating payments: FY2028</x:v>
      </x:c>
      <x:c r="D24" s="61"/>
      <x:c r="E24" s="61" t="d">
        <x:v>2026-08-31T00:00:00.000Z</x:v>
      </x:c>
      <x:c r="F24" s="50" t="str">
        <x:v>10-Q</x:v>
      </x:c>
      <x:c r="G24" s="61" t="d">
        <x:v>2026-09-11T00:00:00.000Z</x:v>
      </x:c>
      <x:c r="H24" s="50" t="str">
        <x:v>0001193125-26-389274</x:v>
      </x:c>
      <x:c r="I24" s="50" t="str">
        <x:v>us-gaap:LesseeOperatingLeaseLiabilityPaymentsDueNextTwelveMonths</x:v>
      </x:c>
      <x:c r="J24" s="50" t="str">
        <x:v>C_6aa4717d-0551-43f7-9cf4-c8a0049a656e</x:v>
      </x:c>
      <x:c r="K24" s="50" t="n">
        <x:v>6</x:v>
      </x:c>
      <x:c r="L24" s="50" t="str">
        <x:v>-6</x:v>
      </x:c>
      <x:c r="M24" s="50" t="str">
        <x:v>https://www.sec.gov/Archives/edgar/data/1341439/000119312526389274/orcl-20260831.htm</x:v>
      </x:c>
      <x:c r="N24" s="50" t="str">
        <x:v>10-Q Note 6, pp. 12–13</x:v>
      </x:c>
      <x:c r="O24" s="50"/>
    </x:row>
    <x:row r="25" ht="45" customHeight="1">
      <x:c r="A25" s="50" t="str">
        <x:v>operating_2</x:v>
      </x:c>
      <x:c r="B25" s="60" t="n">
        <x:v>4097000000</x:v>
      </x:c>
      <x:c r="C25" s="50" t="str">
        <x:v>Operating payments: FY2029</x:v>
      </x:c>
      <x:c r="D25" s="61"/>
      <x:c r="E25" s="61" t="d">
        <x:v>2026-08-31T00:00:00.000Z</x:v>
      </x:c>
      <x:c r="F25" s="50" t="str">
        <x:v>10-Q</x:v>
      </x:c>
      <x:c r="G25" s="61" t="d">
        <x:v>2026-09-11T00:00:00.000Z</x:v>
      </x:c>
      <x:c r="H25" s="50" t="str">
        <x:v>0001193125-26-389274</x:v>
      </x:c>
      <x:c r="I25" s="50" t="str">
        <x:v>us-gaap:LesseeOperatingLeaseLiabilityPaymentsDueYearTwo</x:v>
      </x:c>
      <x:c r="J25" s="50" t="str">
        <x:v>C_6aa4717d-0551-43f7-9cf4-c8a0049a656e</x:v>
      </x:c>
      <x:c r="K25" s="50" t="n">
        <x:v>6</x:v>
      </x:c>
      <x:c r="L25" s="50" t="str">
        <x:v>-6</x:v>
      </x:c>
      <x:c r="M25" s="50" t="str">
        <x:v>https://www.sec.gov/Archives/edgar/data/1341439/000119312526389274/orcl-20260831.htm</x:v>
      </x:c>
      <x:c r="N25" s="50" t="str">
        <x:v>10-Q Note 6, pp. 12–13</x:v>
      </x:c>
      <x:c r="O25" s="50"/>
    </x:row>
    <x:row r="26" ht="45" customHeight="1">
      <x:c r="A26" s="50" t="str">
        <x:v>operating_3</x:v>
      </x:c>
      <x:c r="B26" s="60" t="n">
        <x:v>4109000000</x:v>
      </x:c>
      <x:c r="C26" s="50" t="str">
        <x:v>Operating payments: FY2030</x:v>
      </x:c>
      <x:c r="D26" s="61"/>
      <x:c r="E26" s="61" t="d">
        <x:v>2026-08-31T00:00:00.000Z</x:v>
      </x:c>
      <x:c r="F26" s="50" t="str">
        <x:v>10-Q</x:v>
      </x:c>
      <x:c r="G26" s="61" t="d">
        <x:v>2026-09-11T00:00:00.000Z</x:v>
      </x:c>
      <x:c r="H26" s="50" t="str">
        <x:v>0001193125-26-389274</x:v>
      </x:c>
      <x:c r="I26" s="50" t="str">
        <x:v>us-gaap:LesseeOperatingLeaseLiabilityPaymentsDueYearThree</x:v>
      </x:c>
      <x:c r="J26" s="50" t="str">
        <x:v>C_6aa4717d-0551-43f7-9cf4-c8a0049a656e</x:v>
      </x:c>
      <x:c r="K26" s="50" t="n">
        <x:v>6</x:v>
      </x:c>
      <x:c r="L26" s="50" t="str">
        <x:v>-6</x:v>
      </x:c>
      <x:c r="M26" s="50" t="str">
        <x:v>https://www.sec.gov/Archives/edgar/data/1341439/000119312526389274/orcl-20260831.htm</x:v>
      </x:c>
      <x:c r="N26" s="50" t="str">
        <x:v>10-Q Note 6, pp. 12–13</x:v>
      </x:c>
      <x:c r="O26" s="50"/>
    </x:row>
    <x:row r="27" ht="45" customHeight="1">
      <x:c r="A27" s="50" t="str">
        <x:v>operating_4</x:v>
      </x:c>
      <x:c r="B27" s="60" t="n">
        <x:v>4089000000</x:v>
      </x:c>
      <x:c r="C27" s="50" t="str">
        <x:v>Operating payments: FY2031</x:v>
      </x:c>
      <x:c r="D27" s="61"/>
      <x:c r="E27" s="61" t="d">
        <x:v>2026-08-31T00:00:00.000Z</x:v>
      </x:c>
      <x:c r="F27" s="50" t="str">
        <x:v>10-Q</x:v>
      </x:c>
      <x:c r="G27" s="61" t="d">
        <x:v>2026-09-11T00:00:00.000Z</x:v>
      </x:c>
      <x:c r="H27" s="50" t="str">
        <x:v>0001193125-26-389274</x:v>
      </x:c>
      <x:c r="I27" s="50" t="str">
        <x:v>us-gaap:LesseeOperatingLeaseLiabilityPaymentsDueYearFour</x:v>
      </x:c>
      <x:c r="J27" s="50" t="str">
        <x:v>C_6aa4717d-0551-43f7-9cf4-c8a0049a656e</x:v>
      </x:c>
      <x:c r="K27" s="50" t="n">
        <x:v>6</x:v>
      </x:c>
      <x:c r="L27" s="50" t="str">
        <x:v>-6</x:v>
      </x:c>
      <x:c r="M27" s="50" t="str">
        <x:v>https://www.sec.gov/Archives/edgar/data/1341439/000119312526389274/orcl-20260831.htm</x:v>
      </x:c>
      <x:c r="N27" s="50" t="str">
        <x:v>10-Q Note 6, pp. 12–13</x:v>
      </x:c>
      <x:c r="O27" s="50"/>
    </x:row>
    <x:row r="28" ht="45" customHeight="1">
      <x:c r="A28" s="50" t="str">
        <x:v>operating_5</x:v>
      </x:c>
      <x:c r="B28" s="60" t="n">
        <x:v>4030000000</x:v>
      </x:c>
      <x:c r="C28" s="50" t="str">
        <x:v>Operating payments: FY2032</x:v>
      </x:c>
      <x:c r="D28" s="61"/>
      <x:c r="E28" s="61" t="d">
        <x:v>2026-08-31T00:00:00.000Z</x:v>
      </x:c>
      <x:c r="F28" s="50" t="str">
        <x:v>10-Q</x:v>
      </x:c>
      <x:c r="G28" s="61" t="d">
        <x:v>2026-09-11T00:00:00.000Z</x:v>
      </x:c>
      <x:c r="H28" s="50" t="str">
        <x:v>0001193125-26-389274</x:v>
      </x:c>
      <x:c r="I28" s="50" t="str">
        <x:v>us-gaap:LesseeOperatingLeaseLiabilityPaymentsDueYearFive</x:v>
      </x:c>
      <x:c r="J28" s="50" t="str">
        <x:v>C_6aa4717d-0551-43f7-9cf4-c8a0049a656e</x:v>
      </x:c>
      <x:c r="K28" s="50" t="n">
        <x:v>6</x:v>
      </x:c>
      <x:c r="L28" s="50" t="str">
        <x:v>-6</x:v>
      </x:c>
      <x:c r="M28" s="50" t="str">
        <x:v>https://www.sec.gov/Archives/edgar/data/1341439/000119312526389274/orcl-20260831.htm</x:v>
      </x:c>
      <x:c r="N28" s="50" t="str">
        <x:v>10-Q Note 6, pp. 12–13</x:v>
      </x:c>
      <x:c r="O28" s="50"/>
    </x:row>
    <x:row r="29" ht="45" customHeight="1">
      <x:c r="A29" s="50" t="str">
        <x:v>operating_6</x:v>
      </x:c>
      <x:c r="B29" s="60" t="n">
        <x:v>24371000000</x:v>
      </x:c>
      <x:c r="C29" s="50" t="str">
        <x:v>Operating payments: Thereafter</x:v>
      </x:c>
      <x:c r="D29" s="61"/>
      <x:c r="E29" s="61" t="d">
        <x:v>2026-08-31T00:00:00.000Z</x:v>
      </x:c>
      <x:c r="F29" s="50" t="str">
        <x:v>10-Q</x:v>
      </x:c>
      <x:c r="G29" s="61" t="d">
        <x:v>2026-09-11T00:00:00.000Z</x:v>
      </x:c>
      <x:c r="H29" s="50" t="str">
        <x:v>0001193125-26-389274</x:v>
      </x:c>
      <x:c r="I29" s="50" t="str">
        <x:v>us-gaap:LesseeOperatingLeaseLiabilityPaymentsDueAfterYearFive</x:v>
      </x:c>
      <x:c r="J29" s="50" t="str">
        <x:v>C_6aa4717d-0551-43f7-9cf4-c8a0049a656e</x:v>
      </x:c>
      <x:c r="K29" s="50" t="n">
        <x:v>6</x:v>
      </x:c>
      <x:c r="L29" s="50" t="str">
        <x:v>-6</x:v>
      </x:c>
      <x:c r="M29" s="50" t="str">
        <x:v>https://www.sec.gov/Archives/edgar/data/1341439/000119312526389274/orcl-20260831.htm</x:v>
      </x:c>
      <x:c r="N29" s="50" t="str">
        <x:v>10-Q Note 6, pp. 12–13</x:v>
      </x:c>
      <x:c r="O29" s="50"/>
    </x:row>
    <x:row r="30" ht="45" customHeight="1">
      <x:c r="A30" s="50" t="str">
        <x:v>finance_0</x:v>
      </x:c>
      <x:c r="B30" s="60" t="n">
        <x:v>620000000</x:v>
      </x:c>
      <x:c r="C30" s="50" t="str">
        <x:v>Finance payments: Remainder FY2027</x:v>
      </x:c>
      <x:c r="D30" s="61"/>
      <x:c r="E30" s="61" t="d">
        <x:v>2026-08-31T00:00:00.000Z</x:v>
      </x:c>
      <x:c r="F30" s="50" t="str">
        <x:v>10-Q</x:v>
      </x:c>
      <x:c r="G30" s="61" t="d">
        <x:v>2026-09-11T00:00:00.000Z</x:v>
      </x:c>
      <x:c r="H30" s="50" t="str">
        <x:v>0001193125-26-389274</x:v>
      </x:c>
      <x:c r="I30" s="50" t="str">
        <x:v>us-gaap:FinanceLeaseLiabilityPaymentsRemainderOfFiscalYear</x:v>
      </x:c>
      <x:c r="J30" s="50" t="str">
        <x:v>C_6aa4717d-0551-43f7-9cf4-c8a0049a656e</x:v>
      </x:c>
      <x:c r="K30" s="50" t="n">
        <x:v>6</x:v>
      </x:c>
      <x:c r="L30" s="50" t="str">
        <x:v>-6</x:v>
      </x:c>
      <x:c r="M30" s="50" t="str">
        <x:v>https://www.sec.gov/Archives/edgar/data/1341439/000119312526389274/orcl-20260831.htm</x:v>
      </x:c>
      <x:c r="N30" s="50" t="str">
        <x:v>10-Q Note 6, pp. 12–13</x:v>
      </x:c>
      <x:c r="O30" s="50"/>
    </x:row>
    <x:row r="31" ht="45" customHeight="1">
      <x:c r="A31" s="50" t="str">
        <x:v>finance_1</x:v>
      </x:c>
      <x:c r="B31" s="60" t="n">
        <x:v>852000000</x:v>
      </x:c>
      <x:c r="C31" s="50" t="str">
        <x:v>Finance payments: FY2028</x:v>
      </x:c>
      <x:c r="D31" s="61"/>
      <x:c r="E31" s="61" t="d">
        <x:v>2026-08-31T00:00:00.000Z</x:v>
      </x:c>
      <x:c r="F31" s="50" t="str">
        <x:v>10-Q</x:v>
      </x:c>
      <x:c r="G31" s="61" t="d">
        <x:v>2026-09-11T00:00:00.000Z</x:v>
      </x:c>
      <x:c r="H31" s="50" t="str">
        <x:v>0001193125-26-389274</x:v>
      </x:c>
      <x:c r="I31" s="50" t="str">
        <x:v>us-gaap:FinanceLeaseLiabilityPaymentsDueNextTwelveMonths</x:v>
      </x:c>
      <x:c r="J31" s="50" t="str">
        <x:v>C_6aa4717d-0551-43f7-9cf4-c8a0049a656e</x:v>
      </x:c>
      <x:c r="K31" s="50" t="n">
        <x:v>6</x:v>
      </x:c>
      <x:c r="L31" s="50" t="str">
        <x:v>-6</x:v>
      </x:c>
      <x:c r="M31" s="50" t="str">
        <x:v>https://www.sec.gov/Archives/edgar/data/1341439/000119312526389274/orcl-20260831.htm</x:v>
      </x:c>
      <x:c r="N31" s="50" t="str">
        <x:v>10-Q Note 6, pp. 12–13</x:v>
      </x:c>
      <x:c r="O31" s="50"/>
    </x:row>
    <x:row r="32" ht="45" customHeight="1">
      <x:c r="A32" s="50" t="str">
        <x:v>finance_2</x:v>
      </x:c>
      <x:c r="B32" s="60" t="n">
        <x:v>923000000</x:v>
      </x:c>
      <x:c r="C32" s="50" t="str">
        <x:v>Finance payments: FY2029</x:v>
      </x:c>
      <x:c r="D32" s="61"/>
      <x:c r="E32" s="61" t="d">
        <x:v>2026-08-31T00:00:00.000Z</x:v>
      </x:c>
      <x:c r="F32" s="50" t="str">
        <x:v>10-Q</x:v>
      </x:c>
      <x:c r="G32" s="61" t="d">
        <x:v>2026-09-11T00:00:00.000Z</x:v>
      </x:c>
      <x:c r="H32" s="50" t="str">
        <x:v>0001193125-26-389274</x:v>
      </x:c>
      <x:c r="I32" s="50" t="str">
        <x:v>us-gaap:FinanceLeaseLiabilityPaymentsDueYearTwo</x:v>
      </x:c>
      <x:c r="J32" s="50" t="str">
        <x:v>C_6aa4717d-0551-43f7-9cf4-c8a0049a656e</x:v>
      </x:c>
      <x:c r="K32" s="50" t="n">
        <x:v>6</x:v>
      </x:c>
      <x:c r="L32" s="50" t="str">
        <x:v>-6</x:v>
      </x:c>
      <x:c r="M32" s="50" t="str">
        <x:v>https://www.sec.gov/Archives/edgar/data/1341439/000119312526389274/orcl-20260831.htm</x:v>
      </x:c>
      <x:c r="N32" s="50" t="str">
        <x:v>10-Q Note 6, pp. 12–13</x:v>
      </x:c>
      <x:c r="O32" s="50"/>
    </x:row>
    <x:row r="33" ht="45" customHeight="1">
      <x:c r="A33" s="50" t="str">
        <x:v>finance_3</x:v>
      </x:c>
      <x:c r="B33" s="60" t="n">
        <x:v>947000000</x:v>
      </x:c>
      <x:c r="C33" s="50" t="str">
        <x:v>Finance payments: FY2030</x:v>
      </x:c>
      <x:c r="D33" s="61"/>
      <x:c r="E33" s="61" t="d">
        <x:v>2026-08-31T00:00:00.000Z</x:v>
      </x:c>
      <x:c r="F33" s="50" t="str">
        <x:v>10-Q</x:v>
      </x:c>
      <x:c r="G33" s="61" t="d">
        <x:v>2026-09-11T00:00:00.000Z</x:v>
      </x:c>
      <x:c r="H33" s="50" t="str">
        <x:v>0001193125-26-389274</x:v>
      </x:c>
      <x:c r="I33" s="50" t="str">
        <x:v>us-gaap:FinanceLeaseLiabilityPaymentsDueYearThree</x:v>
      </x:c>
      <x:c r="J33" s="50" t="str">
        <x:v>C_6aa4717d-0551-43f7-9cf4-c8a0049a656e</x:v>
      </x:c>
      <x:c r="K33" s="50" t="n">
        <x:v>6</x:v>
      </x:c>
      <x:c r="L33" s="50" t="str">
        <x:v>-6</x:v>
      </x:c>
      <x:c r="M33" s="50" t="str">
        <x:v>https://www.sec.gov/Archives/edgar/data/1341439/000119312526389274/orcl-20260831.htm</x:v>
      </x:c>
      <x:c r="N33" s="50" t="str">
        <x:v>10-Q Note 6, pp. 12–13</x:v>
      </x:c>
      <x:c r="O33" s="50"/>
    </x:row>
    <x:row r="34" ht="45" customHeight="1">
      <x:c r="A34" s="50" t="str">
        <x:v>finance_4</x:v>
      </x:c>
      <x:c r="B34" s="60" t="n">
        <x:v>971000000</x:v>
      </x:c>
      <x:c r="C34" s="50" t="str">
        <x:v>Finance payments: FY2031</x:v>
      </x:c>
      <x:c r="D34" s="61"/>
      <x:c r="E34" s="61" t="d">
        <x:v>2026-08-31T00:00:00.000Z</x:v>
      </x:c>
      <x:c r="F34" s="50" t="str">
        <x:v>10-Q</x:v>
      </x:c>
      <x:c r="G34" s="61" t="d">
        <x:v>2026-09-11T00:00:00.000Z</x:v>
      </x:c>
      <x:c r="H34" s="50" t="str">
        <x:v>0001193125-26-389274</x:v>
      </x:c>
      <x:c r="I34" s="50" t="str">
        <x:v>us-gaap:FinanceLeaseLiabilityPaymentsDueYearFour</x:v>
      </x:c>
      <x:c r="J34" s="50" t="str">
        <x:v>C_6aa4717d-0551-43f7-9cf4-c8a0049a656e</x:v>
      </x:c>
      <x:c r="K34" s="50" t="n">
        <x:v>6</x:v>
      </x:c>
      <x:c r="L34" s="50" t="str">
        <x:v>-6</x:v>
      </x:c>
      <x:c r="M34" s="50" t="str">
        <x:v>https://www.sec.gov/Archives/edgar/data/1341439/000119312526389274/orcl-20260831.htm</x:v>
      </x:c>
      <x:c r="N34" s="50" t="str">
        <x:v>10-Q Note 6, pp. 12–13</x:v>
      </x:c>
      <x:c r="O34" s="50"/>
    </x:row>
    <x:row r="35" ht="45" customHeight="1">
      <x:c r="A35" s="50" t="str">
        <x:v>finance_5</x:v>
      </x:c>
      <x:c r="B35" s="60" t="n">
        <x:v>996000000</x:v>
      </x:c>
      <x:c r="C35" s="50" t="str">
        <x:v>Finance payments: FY2032</x:v>
      </x:c>
      <x:c r="D35" s="61"/>
      <x:c r="E35" s="61" t="d">
        <x:v>2026-08-31T00:00:00.000Z</x:v>
      </x:c>
      <x:c r="F35" s="50" t="str">
        <x:v>10-Q</x:v>
      </x:c>
      <x:c r="G35" s="61" t="d">
        <x:v>2026-09-11T00:00:00.000Z</x:v>
      </x:c>
      <x:c r="H35" s="50" t="str">
        <x:v>0001193125-26-389274</x:v>
      </x:c>
      <x:c r="I35" s="50" t="str">
        <x:v>us-gaap:FinanceLeaseLiabilityPaymentsDueYearFive</x:v>
      </x:c>
      <x:c r="J35" s="50" t="str">
        <x:v>C_6aa4717d-0551-43f7-9cf4-c8a0049a656e</x:v>
      </x:c>
      <x:c r="K35" s="50" t="n">
        <x:v>6</x:v>
      </x:c>
      <x:c r="L35" s="50" t="str">
        <x:v>-6</x:v>
      </x:c>
      <x:c r="M35" s="50" t="str">
        <x:v>https://www.sec.gov/Archives/edgar/data/1341439/000119312526389274/orcl-20260831.htm</x:v>
      </x:c>
      <x:c r="N35" s="50" t="str">
        <x:v>10-Q Note 6, pp. 12–13</x:v>
      </x:c>
      <x:c r="O35" s="50"/>
    </x:row>
    <x:row r="36" ht="45" customHeight="1">
      <x:c r="A36" s="50" t="str">
        <x:v>finance_6</x:v>
      </x:c>
      <x:c r="B36" s="60" t="n">
        <x:v>9886000000</x:v>
      </x:c>
      <x:c r="C36" s="50" t="str">
        <x:v>Finance payments: Thereafter</x:v>
      </x:c>
      <x:c r="D36" s="61"/>
      <x:c r="E36" s="61" t="d">
        <x:v>2026-08-31T00:00:00.000Z</x:v>
      </x:c>
      <x:c r="F36" s="50" t="str">
        <x:v>10-Q</x:v>
      </x:c>
      <x:c r="G36" s="61" t="d">
        <x:v>2026-09-11T00:00:00.000Z</x:v>
      </x:c>
      <x:c r="H36" s="50" t="str">
        <x:v>0001193125-26-389274</x:v>
      </x:c>
      <x:c r="I36" s="50" t="str">
        <x:v>us-gaap:FinanceLeaseLiabilityPaymentsDueAfterYearFive</x:v>
      </x:c>
      <x:c r="J36" s="50" t="str">
        <x:v>C_6aa4717d-0551-43f7-9cf4-c8a0049a656e</x:v>
      </x:c>
      <x:c r="K36" s="50" t="n">
        <x:v>6</x:v>
      </x:c>
      <x:c r="L36" s="50" t="str">
        <x:v>-6</x:v>
      </x:c>
      <x:c r="M36" s="50" t="str">
        <x:v>https://www.sec.gov/Archives/edgar/data/1341439/000119312526389274/orcl-20260831.htm</x:v>
      </x:c>
      <x:c r="N36" s="50" t="str">
        <x:v>10-Q Note 6, pp. 12–13</x:v>
      </x:c>
      <x:c r="O36" s="50"/>
    </x:row>
    <x:row r="37" ht="45" customHeight="1">
      <x:c r="A37" s="50" t="str">
        <x:v>purchase_0</x:v>
      </x:c>
      <x:c r="B37" s="60" t="n">
        <x:v>5449000000</x:v>
      </x:c>
      <x:c r="C37" s="50" t="str">
        <x:v>Purchase payments: Remainder FY2027</x:v>
      </x:c>
      <x:c r="D37" s="61"/>
      <x:c r="E37" s="61" t="d">
        <x:v>2026-08-31T00:00:00.000Z</x:v>
      </x:c>
      <x:c r="F37" s="50" t="str">
        <x:v>10-Q</x:v>
      </x:c>
      <x:c r="G37" s="61" t="d">
        <x:v>2026-09-11T00:00:00.000Z</x:v>
      </x:c>
      <x:c r="H37" s="50" t="str">
        <x:v>0001193125-26-389274</x:v>
      </x:c>
      <x:c r="I37" s="50" t="str">
        <x:v>us-gaap:UnrecordedUnconditionalPurchaseObligationDueInRemainderOfFiscalYear</x:v>
      </x:c>
      <x:c r="J37" s="50" t="str">
        <x:v>C_6aa4717d-0551-43f7-9cf4-c8a0049a656e</x:v>
      </x:c>
      <x:c r="K37" s="50" t="n">
        <x:v>6</x:v>
      </x:c>
      <x:c r="L37" s="50" t="str">
        <x:v>-6</x:v>
      </x:c>
      <x:c r="M37" s="50" t="str">
        <x:v>https://www.sec.gov/Archives/edgar/data/1341439/000119312526389274/orcl-20260831.htm</x:v>
      </x:c>
      <x:c r="N37" s="50" t="str">
        <x:v>10-Q Note 6, pp. 12–13</x:v>
      </x:c>
      <x:c r="O37" s="50"/>
    </x:row>
    <x:row r="38" ht="45" customHeight="1">
      <x:c r="A38" s="50" t="str">
        <x:v>purchase_1</x:v>
      </x:c>
      <x:c r="B38" s="60" t="n">
        <x:v>6176000000</x:v>
      </x:c>
      <x:c r="C38" s="50" t="str">
        <x:v>Purchase payments: FY2028</x:v>
      </x:c>
      <x:c r="D38" s="61"/>
      <x:c r="E38" s="61" t="d">
        <x:v>2026-08-31T00:00:00.000Z</x:v>
      </x:c>
      <x:c r="F38" s="50" t="str">
        <x:v>10-Q</x:v>
      </x:c>
      <x:c r="G38" s="61" t="d">
        <x:v>2026-09-11T00:00:00.000Z</x:v>
      </x:c>
      <x:c r="H38" s="50" t="str">
        <x:v>0001193125-26-389274</x:v>
      </x:c>
      <x:c r="I38" s="50" t="str">
        <x:v>us-gaap:UnrecordedUnconditionalPurchaseObligationBalanceOnFirstAnniversary</x:v>
      </x:c>
      <x:c r="J38" s="50" t="str">
        <x:v>C_6aa4717d-0551-43f7-9cf4-c8a0049a656e</x:v>
      </x:c>
      <x:c r="K38" s="50" t="n">
        <x:v>6</x:v>
      </x:c>
      <x:c r="L38" s="50" t="str">
        <x:v>-6</x:v>
      </x:c>
      <x:c r="M38" s="50" t="str">
        <x:v>https://www.sec.gov/Archives/edgar/data/1341439/000119312526389274/orcl-20260831.htm</x:v>
      </x:c>
      <x:c r="N38" s="50" t="str">
        <x:v>10-Q Note 6, pp. 12–13</x:v>
      </x:c>
      <x:c r="O38" s="50"/>
    </x:row>
    <x:row r="39" ht="45" customHeight="1">
      <x:c r="A39" s="50" t="str">
        <x:v>purchase_2</x:v>
      </x:c>
      <x:c r="B39" s="60" t="n">
        <x:v>3863000000</x:v>
      </x:c>
      <x:c r="C39" s="50" t="str">
        <x:v>Purchase payments: FY2029</x:v>
      </x:c>
      <x:c r="D39" s="61"/>
      <x:c r="E39" s="61" t="d">
        <x:v>2026-08-31T00:00:00.000Z</x:v>
      </x:c>
      <x:c r="F39" s="50" t="str">
        <x:v>10-Q</x:v>
      </x:c>
      <x:c r="G39" s="61" t="d">
        <x:v>2026-09-11T00:00:00.000Z</x:v>
      </x:c>
      <x:c r="H39" s="50" t="str">
        <x:v>0001193125-26-389274</x:v>
      </x:c>
      <x:c r="I39" s="50" t="str">
        <x:v>us-gaap:UnrecordedUnconditionalPurchaseObligationBalanceOnSecondAnniversary</x:v>
      </x:c>
      <x:c r="J39" s="50" t="str">
        <x:v>C_6aa4717d-0551-43f7-9cf4-c8a0049a656e</x:v>
      </x:c>
      <x:c r="K39" s="50" t="n">
        <x:v>6</x:v>
      </x:c>
      <x:c r="L39" s="50" t="str">
        <x:v>-6</x:v>
      </x:c>
      <x:c r="M39" s="50" t="str">
        <x:v>https://www.sec.gov/Archives/edgar/data/1341439/000119312526389274/orcl-20260831.htm</x:v>
      </x:c>
      <x:c r="N39" s="50" t="str">
        <x:v>10-Q Note 6, pp. 12–13</x:v>
      </x:c>
      <x:c r="O39" s="50"/>
    </x:row>
    <x:row r="40" ht="45" customHeight="1">
      <x:c r="A40" s="50" t="str">
        <x:v>purchase_3</x:v>
      </x:c>
      <x:c r="B40" s="60" t="n">
        <x:v>4318000000</x:v>
      </x:c>
      <x:c r="C40" s="50" t="str">
        <x:v>Purchase payments: FY2030</x:v>
      </x:c>
      <x:c r="D40" s="61"/>
      <x:c r="E40" s="61" t="d">
        <x:v>2026-08-31T00:00:00.000Z</x:v>
      </x:c>
      <x:c r="F40" s="50" t="str">
        <x:v>10-Q</x:v>
      </x:c>
      <x:c r="G40" s="61" t="d">
        <x:v>2026-09-11T00:00:00.000Z</x:v>
      </x:c>
      <x:c r="H40" s="50" t="str">
        <x:v>0001193125-26-389274</x:v>
      </x:c>
      <x:c r="I40" s="50" t="str">
        <x:v>us-gaap:UnrecordedUnconditionalPurchaseObligationBalanceOnThirdAnniversary</x:v>
      </x:c>
      <x:c r="J40" s="50" t="str">
        <x:v>C_6aa4717d-0551-43f7-9cf4-c8a0049a656e</x:v>
      </x:c>
      <x:c r="K40" s="50" t="n">
        <x:v>6</x:v>
      </x:c>
      <x:c r="L40" s="50" t="str">
        <x:v>-6</x:v>
      </x:c>
      <x:c r="M40" s="50" t="str">
        <x:v>https://www.sec.gov/Archives/edgar/data/1341439/000119312526389274/orcl-20260831.htm</x:v>
      </x:c>
      <x:c r="N40" s="50" t="str">
        <x:v>10-Q Note 6, pp. 12–13</x:v>
      </x:c>
      <x:c r="O40" s="50"/>
    </x:row>
    <x:row r="41" ht="45" customHeight="1">
      <x:c r="A41" s="50" t="str">
        <x:v>purchase_4</x:v>
      </x:c>
      <x:c r="B41" s="60" t="n">
        <x:v>6768000000</x:v>
      </x:c>
      <x:c r="C41" s="50" t="str">
        <x:v>Purchase payments: FY2031</x:v>
      </x:c>
      <x:c r="D41" s="61"/>
      <x:c r="E41" s="61" t="d">
        <x:v>2026-08-31T00:00:00.000Z</x:v>
      </x:c>
      <x:c r="F41" s="50" t="str">
        <x:v>10-Q</x:v>
      </x:c>
      <x:c r="G41" s="61" t="d">
        <x:v>2026-09-11T00:00:00.000Z</x:v>
      </x:c>
      <x:c r="H41" s="50" t="str">
        <x:v>0001193125-26-389274</x:v>
      </x:c>
      <x:c r="I41" s="50" t="str">
        <x:v>us-gaap:UnrecordedUnconditionalPurchaseObligationBalanceOnFourthAnniversary</x:v>
      </x:c>
      <x:c r="J41" s="50" t="str">
        <x:v>C_6aa4717d-0551-43f7-9cf4-c8a0049a656e</x:v>
      </x:c>
      <x:c r="K41" s="50" t="n">
        <x:v>6</x:v>
      </x:c>
      <x:c r="L41" s="50" t="str">
        <x:v>-6</x:v>
      </x:c>
      <x:c r="M41" s="50" t="str">
        <x:v>https://www.sec.gov/Archives/edgar/data/1341439/000119312526389274/orcl-20260831.htm</x:v>
      </x:c>
      <x:c r="N41" s="50" t="str">
        <x:v>10-Q Note 6, pp. 12–13</x:v>
      </x:c>
      <x:c r="O41" s="50"/>
    </x:row>
    <x:row r="42" ht="45" customHeight="1">
      <x:c r="A42" s="50" t="str">
        <x:v>purchase_5</x:v>
      </x:c>
      <x:c r="B42" s="60" t="n">
        <x:v>954000000</x:v>
      </x:c>
      <x:c r="C42" s="50" t="str">
        <x:v>Purchase payments: FY2032</x:v>
      </x:c>
      <x:c r="D42" s="61"/>
      <x:c r="E42" s="61" t="d">
        <x:v>2026-08-31T00:00:00.000Z</x:v>
      </x:c>
      <x:c r="F42" s="50" t="str">
        <x:v>10-Q</x:v>
      </x:c>
      <x:c r="G42" s="61" t="d">
        <x:v>2026-09-11T00:00:00.000Z</x:v>
      </x:c>
      <x:c r="H42" s="50" t="str">
        <x:v>0001193125-26-389274</x:v>
      </x:c>
      <x:c r="I42" s="50" t="str">
        <x:v>us-gaap:UnrecordedUnconditionalPurchaseObligationBalanceOnFifthAnniversary</x:v>
      </x:c>
      <x:c r="J42" s="50" t="str">
        <x:v>C_6aa4717d-0551-43f7-9cf4-c8a0049a656e</x:v>
      </x:c>
      <x:c r="K42" s="50" t="n">
        <x:v>6</x:v>
      </x:c>
      <x:c r="L42" s="50" t="str">
        <x:v>-6</x:v>
      </x:c>
      <x:c r="M42" s="50" t="str">
        <x:v>https://www.sec.gov/Archives/edgar/data/1341439/000119312526389274/orcl-20260831.htm</x:v>
      </x:c>
      <x:c r="N42" s="50" t="str">
        <x:v>10-Q Note 6, pp. 12–13</x:v>
      </x:c>
      <x:c r="O42" s="50"/>
    </x:row>
    <x:row r="43" ht="45" customHeight="1">
      <x:c r="A43" s="50" t="str">
        <x:v>purchase_6</x:v>
      </x:c>
      <x:c r="B43" s="60" t="n">
        <x:v>6622000000</x:v>
      </x:c>
      <x:c r="C43" s="50" t="str">
        <x:v>Purchase payments: Thereafter</x:v>
      </x:c>
      <x:c r="D43" s="61"/>
      <x:c r="E43" s="61" t="d">
        <x:v>2026-08-31T00:00:00.000Z</x:v>
      </x:c>
      <x:c r="F43" s="50" t="str">
        <x:v>10-Q</x:v>
      </x:c>
      <x:c r="G43" s="61" t="d">
        <x:v>2026-09-11T00:00:00.000Z</x:v>
      </x:c>
      <x:c r="H43" s="50" t="str">
        <x:v>0001193125-26-389274</x:v>
      </x:c>
      <x:c r="I43" s="50" t="str">
        <x:v>us-gaap:UnrecordedUnconditionalPurchaseObligationDueAfterFiveYears</x:v>
      </x:c>
      <x:c r="J43" s="50" t="str">
        <x:v>C_6aa4717d-0551-43f7-9cf4-c8a0049a656e</x:v>
      </x:c>
      <x:c r="K43" s="50" t="n">
        <x:v>6</x:v>
      </x:c>
      <x:c r="L43" s="50" t="str">
        <x:v>-6</x:v>
      </x:c>
      <x:c r="M43" s="50" t="str">
        <x:v>https://www.sec.gov/Archives/edgar/data/1341439/000119312526389274/orcl-20260831.htm</x:v>
      </x:c>
      <x:c r="N43" s="50" t="str">
        <x:v>10-Q Note 6, pp. 12–13</x:v>
      </x:c>
      <x:c r="O43" s="50"/>
    </x:row>
    <x:row r="44" ht="45" customHeight="1">
      <x:c r="A44" s="50" t="str">
        <x:v>operating_total</x:v>
      </x:c>
      <x:c r="B44" s="60" t="n">
        <x:v>48050000000</x:v>
      </x:c>
      <x:c r="C44" s="50" t="str">
        <x:v>Operating total</x:v>
      </x:c>
      <x:c r="D44" s="61"/>
      <x:c r="E44" s="61" t="d">
        <x:v>2026-08-31T00:00:00.000Z</x:v>
      </x:c>
      <x:c r="F44" s="50" t="str">
        <x:v>10-Q</x:v>
      </x:c>
      <x:c r="G44" s="61" t="d">
        <x:v>2026-09-11T00:00:00.000Z</x:v>
      </x:c>
      <x:c r="H44" s="50" t="str">
        <x:v>0001193125-26-389274</x:v>
      </x:c>
      <x:c r="I44" s="50" t="str">
        <x:v>us-gaap:LesseeOperatingLeaseLiabilityPaymentsDue</x:v>
      </x:c>
      <x:c r="J44" s="50" t="str">
        <x:v>C_6aa4717d-0551-43f7-9cf4-c8a0049a656e</x:v>
      </x:c>
      <x:c r="K44" s="50" t="n">
        <x:v>6</x:v>
      </x:c>
      <x:c r="L44" s="50" t="str">
        <x:v>-6</x:v>
      </x:c>
      <x:c r="M44" s="50" t="str">
        <x:v>https://www.sec.gov/Archives/edgar/data/1341439/000119312526389274/orcl-20260831.htm</x:v>
      </x:c>
      <x:c r="N44" s="50" t="str">
        <x:v>10-Q Note 6, pp. 12–13</x:v>
      </x:c>
      <x:c r="O44" s="50"/>
    </x:row>
    <x:row r="45" ht="45" customHeight="1">
      <x:c r="A45" s="50" t="str">
        <x:v>operating_interest</x:v>
      </x:c>
      <x:c r="B45" s="60" t="n">
        <x:v>13429000000</x:v>
      </x:c>
      <x:c r="C45" s="50" t="str">
        <x:v>Operating interest</x:v>
      </x:c>
      <x:c r="D45" s="61"/>
      <x:c r="E45" s="61" t="d">
        <x:v>2026-08-31T00:00:00.000Z</x:v>
      </x:c>
      <x:c r="F45" s="50" t="str">
        <x:v>10-Q</x:v>
      </x:c>
      <x:c r="G45" s="61" t="d">
        <x:v>2026-09-11T00:00:00.000Z</x:v>
      </x:c>
      <x:c r="H45" s="50" t="str">
        <x:v>0001193125-26-389274</x:v>
      </x:c>
      <x:c r="I45" s="50" t="str">
        <x:v>us-gaap:LesseeOperatingLeaseLiabilityUndiscountedExcessAmount</x:v>
      </x:c>
      <x:c r="J45" s="50" t="str">
        <x:v>C_6aa4717d-0551-43f7-9cf4-c8a0049a656e</x:v>
      </x:c>
      <x:c r="K45" s="50" t="n">
        <x:v>6</x:v>
      </x:c>
      <x:c r="L45" s="50" t="str">
        <x:v>-6</x:v>
      </x:c>
      <x:c r="M45" s="50" t="str">
        <x:v>https://www.sec.gov/Archives/edgar/data/1341439/000119312526389274/orcl-20260831.htm</x:v>
      </x:c>
      <x:c r="N45" s="50" t="str">
        <x:v>10-Q Note 6, pp. 12–13</x:v>
      </x:c>
      <x:c r="O45" s="50"/>
    </x:row>
    <x:row r="46" ht="45" customHeight="1">
      <x:c r="A46" s="50" t="str">
        <x:v>operating_liability</x:v>
      </x:c>
      <x:c r="B46" s="60" t="n">
        <x:v>34621000000</x:v>
      </x:c>
      <x:c r="C46" s="50" t="str">
        <x:v>Operating liability</x:v>
      </x:c>
      <x:c r="D46" s="61"/>
      <x:c r="E46" s="61" t="d">
        <x:v>2026-08-31T00:00:00.000Z</x:v>
      </x:c>
      <x:c r="F46" s="50" t="str">
        <x:v>10-Q</x:v>
      </x:c>
      <x:c r="G46" s="61" t="d">
        <x:v>2026-09-11T00:00:00.000Z</x:v>
      </x:c>
      <x:c r="H46" s="50" t="str">
        <x:v>0001193125-26-389274</x:v>
      </x:c>
      <x:c r="I46" s="50" t="str">
        <x:v>us-gaap:OperatingLeaseLiability</x:v>
      </x:c>
      <x:c r="J46" s="50" t="str">
        <x:v>C_6aa4717d-0551-43f7-9cf4-c8a0049a656e</x:v>
      </x:c>
      <x:c r="K46" s="50" t="n">
        <x:v>6</x:v>
      </x:c>
      <x:c r="L46" s="50" t="str">
        <x:v>-6</x:v>
      </x:c>
      <x:c r="M46" s="50" t="str">
        <x:v>https://www.sec.gov/Archives/edgar/data/1341439/000119312526389274/orcl-20260831.htm</x:v>
      </x:c>
      <x:c r="N46" s="50" t="str">
        <x:v>10-Q Note 6, pp. 12–13</x:v>
      </x:c>
      <x:c r="O46" s="50"/>
    </x:row>
    <x:row r="47" ht="45" customHeight="1">
      <x:c r="A47" s="50" t="str">
        <x:v>finance_total</x:v>
      </x:c>
      <x:c r="B47" s="60" t="n">
        <x:v>15195000000</x:v>
      </x:c>
      <x:c r="C47" s="50" t="str">
        <x:v>Finance total</x:v>
      </x:c>
      <x:c r="D47" s="61"/>
      <x:c r="E47" s="61" t="d">
        <x:v>2026-08-31T00:00:00.000Z</x:v>
      </x:c>
      <x:c r="F47" s="50" t="str">
        <x:v>10-Q</x:v>
      </x:c>
      <x:c r="G47" s="61" t="d">
        <x:v>2026-09-11T00:00:00.000Z</x:v>
      </x:c>
      <x:c r="H47" s="50" t="str">
        <x:v>0001193125-26-389274</x:v>
      </x:c>
      <x:c r="I47" s="50" t="str">
        <x:v>us-gaap:FinanceLeaseLiabilityPaymentsDue</x:v>
      </x:c>
      <x:c r="J47" s="50" t="str">
        <x:v>C_6aa4717d-0551-43f7-9cf4-c8a0049a656e</x:v>
      </x:c>
      <x:c r="K47" s="50" t="n">
        <x:v>6</x:v>
      </x:c>
      <x:c r="L47" s="50" t="str">
        <x:v>-6</x:v>
      </x:c>
      <x:c r="M47" s="50" t="str">
        <x:v>https://www.sec.gov/Archives/edgar/data/1341439/000119312526389274/orcl-20260831.htm</x:v>
      </x:c>
      <x:c r="N47" s="50" t="str">
        <x:v>10-Q Note 6, pp. 12–13</x:v>
      </x:c>
      <x:c r="O47" s="50"/>
    </x:row>
    <x:row r="48" ht="45" customHeight="1">
      <x:c r="A48" s="50" t="str">
        <x:v>finance_interest</x:v>
      </x:c>
      <x:c r="B48" s="60" t="n">
        <x:v>6010000000</x:v>
      </x:c>
      <x:c r="C48" s="50" t="str">
        <x:v>Finance interest</x:v>
      </x:c>
      <x:c r="D48" s="61"/>
      <x:c r="E48" s="61" t="d">
        <x:v>2026-08-31T00:00:00.000Z</x:v>
      </x:c>
      <x:c r="F48" s="50" t="str">
        <x:v>10-Q</x:v>
      </x:c>
      <x:c r="G48" s="61" t="d">
        <x:v>2026-09-11T00:00:00.000Z</x:v>
      </x:c>
      <x:c r="H48" s="50" t="str">
        <x:v>0001193125-26-389274</x:v>
      </x:c>
      <x:c r="I48" s="50" t="str">
        <x:v>us-gaap:FinanceLeaseLiabilityUndiscountedExcessAmount</x:v>
      </x:c>
      <x:c r="J48" s="50" t="str">
        <x:v>C_6aa4717d-0551-43f7-9cf4-c8a0049a656e</x:v>
      </x:c>
      <x:c r="K48" s="50" t="n">
        <x:v>6</x:v>
      </x:c>
      <x:c r="L48" s="50" t="str">
        <x:v>-6</x:v>
      </x:c>
      <x:c r="M48" s="50" t="str">
        <x:v>https://www.sec.gov/Archives/edgar/data/1341439/000119312526389274/orcl-20260831.htm</x:v>
      </x:c>
      <x:c r="N48" s="50" t="str">
        <x:v>10-Q Note 6, pp. 12–13</x:v>
      </x:c>
      <x:c r="O48" s="50"/>
    </x:row>
    <x:row r="49" ht="45" customHeight="1">
      <x:c r="A49" s="50" t="str">
        <x:v>finance_liability</x:v>
      </x:c>
      <x:c r="B49" s="60" t="n">
        <x:v>9185000000</x:v>
      </x:c>
      <x:c r="C49" s="50" t="str">
        <x:v>Finance liability</x:v>
      </x:c>
      <x:c r="D49" s="61"/>
      <x:c r="E49" s="61" t="d">
        <x:v>2026-08-31T00:00:00.000Z</x:v>
      </x:c>
      <x:c r="F49" s="50" t="str">
        <x:v>10-Q</x:v>
      </x:c>
      <x:c r="G49" s="61" t="d">
        <x:v>2026-09-11T00:00:00.000Z</x:v>
      </x:c>
      <x:c r="H49" s="50" t="str">
        <x:v>0001193125-26-389274</x:v>
      </x:c>
      <x:c r="I49" s="50" t="str">
        <x:v>us-gaap:FinanceLeaseLiability</x:v>
      </x:c>
      <x:c r="J49" s="50" t="str">
        <x:v>C_6aa4717d-0551-43f7-9cf4-c8a0049a656e</x:v>
      </x:c>
      <x:c r="K49" s="50" t="n">
        <x:v>6</x:v>
      </x:c>
      <x:c r="L49" s="50" t="str">
        <x:v>-6</x:v>
      </x:c>
      <x:c r="M49" s="50" t="str">
        <x:v>https://www.sec.gov/Archives/edgar/data/1341439/000119312526389274/orcl-20260831.htm</x:v>
      </x:c>
      <x:c r="N49" s="50" t="str">
        <x:v>10-Q Note 6, pp. 12–13</x:v>
      </x:c>
      <x:c r="O49" s="50"/>
    </x:row>
    <x:row r="50" ht="45" customHeight="1">
      <x:c r="A50" s="50" t="str">
        <x:v>purchase_total</x:v>
      </x:c>
      <x:c r="B50" s="60" t="n">
        <x:v>34150000000</x:v>
      </x:c>
      <x:c r="C50" s="50" t="str">
        <x:v>Purchase total</x:v>
      </x:c>
      <x:c r="D50" s="61"/>
      <x:c r="E50" s="61" t="d">
        <x:v>2026-08-31T00:00:00.000Z</x:v>
      </x:c>
      <x:c r="F50" s="50" t="str">
        <x:v>10-Q</x:v>
      </x:c>
      <x:c r="G50" s="61" t="d">
        <x:v>2026-09-11T00:00:00.000Z</x:v>
      </x:c>
      <x:c r="H50" s="50" t="str">
        <x:v>0001193125-26-389274</x:v>
      </x:c>
      <x:c r="I50" s="50" t="str">
        <x:v>us-gaap:UnrecordedUnconditionalPurchaseObligationBalanceSheetAmount</x:v>
      </x:c>
      <x:c r="J50" s="50" t="str">
        <x:v>C_6aa4717d-0551-43f7-9cf4-c8a0049a656e</x:v>
      </x:c>
      <x:c r="K50" s="50" t="n">
        <x:v>6</x:v>
      </x:c>
      <x:c r="L50" s="50" t="str">
        <x:v>-6</x:v>
      </x:c>
      <x:c r="M50" s="50" t="str">
        <x:v>https://www.sec.gov/Archives/edgar/data/1341439/000119312526389274/orcl-20260831.htm</x:v>
      </x:c>
      <x:c r="N50" s="50" t="str">
        <x:v>10-Q Note 6, pp. 12–13</x:v>
      </x:c>
      <x:c r="O50" s="50"/>
    </x:row>
    <x:row r="51" ht="45" customHeight="1">
      <x:c r="A51" s="50" t="str">
        <x:v>facility_commitment</x:v>
      </x:c>
      <x:c r="B51" s="60" t="n">
        <x:v>10000000000</x:v>
      </x:c>
      <x:c r="C51" s="50" t="str">
        <x:v>Original revolver commitment</x:v>
      </x:c>
      <x:c r="D51" s="61"/>
      <x:c r="E51" s="61" t="d">
        <x:v>2026-03-06T00:00:00.000Z</x:v>
      </x:c>
      <x:c r="F51" s="50" t="str">
        <x:v>10-Q Ex. 10.17</x:v>
      </x:c>
      <x:c r="G51" s="61" t="d">
        <x:v>2026-03-11T00:00:00.000Z</x:v>
      </x:c>
      <x:c r="H51" s="50" t="str">
        <x:v>0001193125-26-101045</x:v>
      </x:c>
      <x:c r="I51" s="50"/>
      <x:c r="J51" s="50"/>
      <x:c r="K51" s="50"/>
      <x:c r="L51" s="50"/>
      <x:c r="M51" s="50" t="str">
        <x:v>https://www.sec.gov/Archives/edgar/data/1341439/000119312526101045/orcl-ex10_17.htm</x:v>
      </x:c>
      <x:c r="N51" s="50" t="str">
        <x:v>Sections 1.01, 2.01, 2.06, 4.02 and 6.02(c)</x:v>
      </x:c>
      <x:c r="O51" s="50"/>
    </x:row>
    <x:row r="52" ht="45" customHeight="1">
      <x:c r="A52" s="50" t="str">
        <x:v>facility_drawn</x:v>
      </x:c>
      <x:c r="B52" s="60" t="n">
        <x:v>0</x:v>
      </x:c>
      <x:c r="C52" s="50" t="str">
        <x:v>Revolver drawn, May 31 only</x:v>
      </x:c>
      <x:c r="D52" s="61"/>
      <x:c r="E52" s="61" t="d">
        <x:v>2026-05-31T00:00:00.000Z</x:v>
      </x:c>
      <x:c r="F52" s="50" t="str">
        <x:v>10-K</x:v>
      </x:c>
      <x:c r="G52" s="61" t="d">
        <x:v>2026-06-22T00:00:00.000Z</x:v>
      </x:c>
      <x:c r="H52" s="50" t="str">
        <x:v>0001193125-26-277521</x:v>
      </x:c>
      <x:c r="I52" s="50"/>
      <x:c r="J52" s="50"/>
      <x:c r="K52" s="50"/>
      <x:c r="L52" s="50"/>
      <x:c r="M52" s="50" t="str">
        <x:v>https://www.sec.gov/Archives/edgar/data/1341439/000119312526277521/orcl-20260531.htm</x:v>
      </x:c>
      <x:c r="N52" s="50" t="str">
        <x:v>10-K Note 6, p. 85, filed June 22, 2026</x:v>
      </x:c>
      <x:c r="O52" s="50"/>
    </x:row>
    <x:row r="53" ht="45" customHeight="1">
      <x:c r="A53" s="50" t="str">
        <x:v>covenant_minimum</x:v>
      </x:c>
      <x:c r="B53" s="62" t="n">
        <x:v>3</x:v>
      </x:c>
      <x:c r="C53" s="50" t="str">
        <x:v>Contract-defined minimum interest coverage (x)</x:v>
      </x:c>
      <x:c r="D53" s="61"/>
      <x:c r="E53" s="61" t="d">
        <x:v>2026-03-06T00:00:00.000Z</x:v>
      </x:c>
      <x:c r="F53" s="50" t="str">
        <x:v>10-Q Ex. 10.17</x:v>
      </x:c>
      <x:c r="G53" s="61" t="d">
        <x:v>2026-03-11T00:00:00.000Z</x:v>
      </x:c>
      <x:c r="H53" s="50" t="str">
        <x:v>0001193125-26-101045</x:v>
      </x:c>
      <x:c r="I53" s="50"/>
      <x:c r="J53" s="50"/>
      <x:c r="K53" s="50"/>
      <x:c r="L53" s="50"/>
      <x:c r="M53" s="50" t="str">
        <x:v>https://www.sec.gov/Archives/edgar/data/1341439/000119312526101045/orcl-ex10_17.htm</x:v>
      </x:c>
      <x:c r="N53" s="50" t="str">
        <x:v>Sections 1.01, 2.01, 2.06, 4.02 and 6.02(c)</x:v>
      </x:c>
      <x:c r="O53" s="5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3" hidden="0" customWidth="1"/>
    <x:col min="2" max="2" width="100" hidden="0" customWidth="1"/>
    <x:col min="3" max="3" width="65" hidden="0" customWidth="1"/>
  </x:cols>
  <x:sheetData>
    <x:row r="1" ht="60" customHeight="1">
      <x:c r="A1" s="56" t="str">
        <x:v>Topic</x:v>
      </x:c>
      <x:c r="B1" s="56" t="str">
        <x:v>Explanation</x:v>
      </x:c>
      <x:c r="C1" s="56" t="str">
        <x:v>Source</x:v>
      </x:c>
    </x:row>
    <x:row r="2" ht="60" customHeight="1">
      <x:c r="A2" s="50" t="str">
        <x:v>Snapshot</x:v>
      </x:c>
      <x:c r="B2" s="50" t="str">
        <x:v>Saved Oracle review of June 1–August 31, 2026, checked October 15, 2026. Not live data or investment advice.</x:v>
      </x:c>
      <x:c r="C2" s="50"/>
    </x:row>
    <x:row r="3" ht="60" customHeight="1">
      <x:c r="A3" s="50" t="str">
        <x:v>Workbook</x:v>
      </x:c>
      <x:c r="B3" s="50" t="str">
        <x:v>Cash analysis calculates funding contributions. Payment dates keeps contracts on their own bases. Data retains reported inputs and sources.</x:v>
      </x:c>
      <x:c r="C3" s="50"/>
    </x:row>
    <x:row r="4" ht="60" customHeight="1">
      <x:c r="A4" s="50" t="str">
        <x:v>Colors and units</x:v>
      </x:c>
      <x:c r="B4" s="50" t="str">
        <x:v>Arial 10. Dollar inputs are full USD displayed in millions. Blue inputs, green links, black calculations. A dash is a reported zero; blank capacity is Unavailable.</x:v>
      </x:c>
      <x:c r="C4" s="50"/>
    </x:row>
    <x:row r="5" ht="60" customHeight="1">
      <x:c r="A5" s="50" t="str">
        <x:v>Missing inputs</x:v>
      </x:c>
      <x:c r="B5" s="50" t="str">
        <x:v>A missing numeric input produces #N/A in dependent calculations rather than zero. Data is a frozen source record, not forecast assumptions.</x:v>
      </x:c>
      <x:c r="C5" s="50"/>
    </x:row>
    <x:row r="6" ht="60" customHeight="1">
      <x:c r="A6" s="50" t="str">
        <x:v>Cash basis</x:v>
      </x:c>
      <x:c r="B6" s="50" t="str">
        <x:v>Ending total cash of 38.934B includes restricted cash. Balance-sheet cash is 36.369B; the 2.565B difference is derived from these exact rounded-million totals.</x:v>
      </x:c>
      <x:c r="C6" s="50" t="str">
        <x:v>https://www.sec.gov/Archives/edgar/data/1341439/000119312526389274/orcl-20260831.htm</x:v>
      </x:c>
    </x:row>
    <x:row r="7" ht="60" customHeight="1">
      <x:c r="A7" s="50" t="str">
        <x:v>Customer prepayments</x:v>
      </x:c>
      <x:c r="B7" s="50" t="str">
        <x:v>11.363B is the specified cash-flow contribution within OCF. Subtracting it does not isolate recurring cash flow or remove future service costs.</x:v>
      </x:c>
      <x:c r="C7" s="50" t="str">
        <x:v>https://www.sec.gov/Archives/edgar/data/1341439/000119312526389274/orcl-20260831.htm</x:v>
      </x:c>
    </x:row>
    <x:row r="8" ht="60" customHeight="1">
      <x:c r="A8" s="50" t="str">
        <x:v>Commercial paper</x:v>
      </x:c>
      <x:c r="B8" s="50" t="str">
        <x:v>Cash-flow CP repayments show zero; MD&amp;A describes about 1.1B. Grouped debt repayments of 4.202B are counted once; classification is unresolved.</x:v>
      </x:c>
      <x:c r="C8" s="50" t="str">
        <x:v>https://www.sec.gov/Archives/edgar/data/1341439/000119312526389274/orcl-20260831.htm</x:v>
      </x:c>
    </x:row>
    <x:row r="9" ht="60" customHeight="1">
      <x:c r="A9" s="50" t="str">
        <x:v>Agreement review</x:v>
      </x:c>
      <x:c r="B9" s="50" t="str">
        <x:v>Draws require accurate representations and no default. Commitments can change or terminate. Extensions require lender consent and conditions. The covenant uses contract-defined EBITDA and cash interest net of cash interest income, including specified adjustments. A generic operating-income/interest ratio cannot establish compliance. August drawn amounts, drawable capacity and covenant headroom are Unavailable. The May 31 10-K reports no drawings and compliance then. Commercial-paper capacity is not added to the revolver.</x:v>
      </x:c>
      <x:c r="C9" s="50" t="str">
        <x:v>https://www.sec.gov/Archives/edgar/data/1341439/000119312526101045/orcl-ex10_17.htm</x:v>
      </x:c>
    </x:row>
    <x:row r="10" ht="60" customHeight="1">
      <x:c r="A10" s="50" t="str">
        <x:v>Agreement definitions</x:v>
      </x:c>
      <x:c r="B10" s="50" t="str">
        <x:v>Contract EBITDA includes specified addbacks and exclusions. Cash interest includes finance-lease interest and specified swap costs, net of cash interest income. Generic ratios do not establish compliance.</x:v>
      </x:c>
      <x:c r="C10" s="50" t="str">
        <x:v>https://www.sec.gov/Archives/edgar/data/1341439/000119312526101045/orcl-ex10_17.htm</x:v>
      </x:c>
    </x:row>
    <x:row r="11" ht="60" customHeight="1">
      <x:c r="A11" s="50" t="str">
        <x:v>8-K event Sep 10, filed Sep 10</x:v>
      </x:c>
      <x:c r="B11" s="50" t="str">
        <x:v>Accession 0001193125-26-387905, main document and Ex.99.1 checked. Reports the same quarter equity program and dividends, not another equity inflow or later borrowing.</x:v>
      </x:c>
      <x:c r="C11" s="50" t="str">
        <x:v>https://www.sec.gov/Archives/edgar/data/1341439/000119312526387905/orcl-ex99_1.htm</x:v>
      </x:c>
    </x:row>
    <x:row r="12" ht="60" customHeight="1">
      <x:c r="A12" s="50" t="str">
        <x:v>8-K event Sep 12, filed Sep 14</x:v>
      </x:c>
      <x:c r="B12" s="50" t="str">
        <x:v>Accession 0001193125-26-389753, main document and Ex.99.1 checked. Insider trading-plan cancellation; no corporate financing event identified.</x:v>
      </x:c>
      <x:c r="C12" s="50" t="str">
        <x:v>https://www.sec.gov/Archives/edgar/data/1341439/000119312526389753/d20034dex991.htm</x:v>
      </x:c>
    </x:row>
    <x:row r="13" ht="60" customHeight="1">
      <x:c r="A13" s="50" t="str">
        <x:v>Later filing scope</x:v>
      </x:c>
      <x:c r="B13" s="50" t="str">
        <x:v>Two saved later 8-Ks and exhibits reviewed. This does not rebuild a complete current submissions index. Unmatched later filings remain Not checked.</x:v>
      </x:c>
      <x:c r="C13" s="50"/>
    </x:row>
    <x:row r="14" ht="60" customHeight="1">
      <x:c r="A14" s="50" t="str">
        <x:v>Repayment limits</x:v>
      </x:c>
      <x:c r="B14" s="50" t="str">
        <x:v>Remaining August debt principal dates, drawable credit and future operating cash generation are Unavailable. No overall future repayment surplus or shortfall can be established.</x:v>
      </x:c>
      <x:c r="C14" s="50"/>
    </x:row>
  </x:sheetData>
  <x:pageMargins left="0.7" right="0.7" top="0.75" bottom="0.75" header="0.3" footer="0.3"/>
</x:worksheet>
</file>