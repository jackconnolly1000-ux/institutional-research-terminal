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e3a698c9bd406c" /></Relationships>
</file>

<file path=xl/workbook.xml><?xml version="1.0" encoding="utf-8"?>
<x:workbook xmlns:x="http://schemas.openxmlformats.org/spreadsheetml/2006/main">
  <x:sheets>
    <x:sheet xmlns:r="http://schemas.openxmlformats.org/officeDocument/2006/relationships" name="Funding conclusion" sheetId="1" r:id="R2efd60575f5a4253"/>
    <x:sheet xmlns:r="http://schemas.openxmlformats.org/officeDocument/2006/relationships" name="Repayment review" sheetId="2" r:id="R9f77e31091b54548"/>
    <x:sheet xmlns:r="http://schemas.openxmlformats.org/officeDocument/2006/relationships" name="Cash analysis" sheetId="3" r:id="R40913e47c3924d10"/>
    <x:sheet xmlns:r="http://schemas.openxmlformats.org/officeDocument/2006/relationships" name="Payment dates" sheetId="4" r:id="Rbf7e63f27fa14052"/>
    <x:sheet xmlns:r="http://schemas.openxmlformats.org/officeDocument/2006/relationships" name="Data" sheetId="5" r:id="R6f821d842cfe4c14"/>
    <x:sheet xmlns:r="http://schemas.openxmlformats.org/officeDocument/2006/relationships" name="About" sheetId="6" r:id="Rc4a17f4f93894288"/>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17">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s>
  <x:fills count="3">
    <x:fill>
      <x:patternFill patternType="none"/>
    </x:fill>
    <x:fill>
      <x:patternFill patternType="gray125"/>
    </x:fill>
    <x:fill>
      <x:patternFill patternType="solid">
        <x:fgColor rgb="FFF0F2F5"/>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24">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1c0fded763d44d6" /><Relationship Type="http://schemas.openxmlformats.org/officeDocument/2006/relationships/theme" Target="/xl/theme/theme1.xml" Id="R5f68e5102ad64832" /><Relationship Type="http://schemas.openxmlformats.org/officeDocument/2006/relationships/sharedStrings" Target="/xl/sharedStrings.xml" Id="R61e5bf07ddc04fae" /><Relationship Type="http://schemas.openxmlformats.org/officeDocument/2006/relationships/worksheet" Target="/xl/worksheets/sheet1.xml" Id="R2efd60575f5a4253" /><Relationship Type="http://schemas.openxmlformats.org/officeDocument/2006/relationships/worksheet" Target="/xl/worksheets/sheet2.xml" Id="R9f77e31091b54548" /><Relationship Type="http://schemas.openxmlformats.org/officeDocument/2006/relationships/worksheet" Target="/xl/worksheets/sheet3.xml" Id="R40913e47c3924d10" /><Relationship Type="http://schemas.openxmlformats.org/officeDocument/2006/relationships/worksheet" Target="/xl/worksheets/sheet4.xml" Id="Rbf7e63f27fa14052" /><Relationship Type="http://schemas.openxmlformats.org/officeDocument/2006/relationships/worksheet" Target="/xl/worksheets/sheet5.xml" Id="R6f821d842cfe4c14" /><Relationship Type="http://schemas.openxmlformats.org/officeDocument/2006/relationships/worksheet" Target="/xl/worksheets/sheet6.xml" Id="Rc4a17f4f93894288" /></Relationships>
</file>

<file path=xl/drawings/_rels/drawing1.xml.rels>&#65279;<?xml version="1.0" encoding="utf-8"?><Relationships xmlns="http://schemas.openxmlformats.org/package/2006/relationships"><Relationship Type="http://schemas.openxmlformats.org/officeDocument/2006/relationships/chart" Target="/xl/drawings/charts/chart1.xml" Id="Reaa8e319fd0d4f6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aa8e319fd0d4f6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drawing" Target="/xl/drawings/drawing1.xml" Id="R9bd4db5f05114cbf"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The dated cash balance does not establish coverage of future debt and infrastructure payments.</x:v>
      </x:c>
    </x:row>
    <x:row r="7" ht="76" customHeight="1">
      <x:c r="A7" s="15" t="str">
        <x:v>Near-term obligations</x:v>
      </x:c>
      <x:c r="B7" s="16" t="str">
        <x:v>At August 31, 2026, current borrowing was $7.625B, not a principal payment calendar. September 2026–May 2027 disclosed payments are $3.219B operating leases, $620M finance leases and $5.449B purchase/other obligations. They remain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remaining debt principal dates, current drawable credit, future cash generation and commitment overlap.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24" customHeight="1">
      <x:c r="A13" s="74" t="str">
        <x:v>One shared cash pool. OCF, prepayments and equity proceeds are not added to closing cash again.</x:v>
      </x:c>
      <x:c r="B13" s="74"/>
      <x:c r="C13" s="74"/>
      <x:c r="D13" s="74"/>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Remaining August borrowing principal and interest dates are Unavailable. Current borrowing is carrying value.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Remaining borrowing principal and interest at August 31</x:v>
      </x:c>
      <x:c r="B53" s="193"/>
      <x:c r="C53" s="167" t="str">
        <x:v>Unavailable</x:v>
      </x:c>
      <x:c r="D53" s="169" t="str">
        <x:v>Current borrowing is carrying value, not a dated principal schedule. The May principal schedule is historical. Quarter repayments cannot be assigned to its buckets.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00" customHeight="1">
      <x:c r="A79" s="74" t="str">
        <x:v>Saved-source scope</x:v>
      </x:c>
      <x:c r="B79" s="74"/>
      <x:c r="C79" s="74"/>
      <x:c r="D79" s="74" t="str">
        <x:v>Seven saved documents: the May 31 10-K, August 31 10-Q, March 6 credit agreement, and the September 10 and September 14 8-Ks with their exhibits. The latest saved filing is September 14, 2026. This is not a complete later-filing inventory.</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9bd4db5f05114cbf"/>
</x:worksheet>
</file>

<file path=xl/worksheets/sheet4.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row>
    <x:row r="3" ht="24" customHeight="1">
      <x:c r="A3" s="72" t="str">
        <x:v>At August 31, 2026. USD millions. Leases include interest; no combined obligations total.</x:v>
      </x:c>
      <x:c r="B3" s="40"/>
      <x:c r="C3" s="40"/>
      <x:c r="D3" s="40"/>
      <x:c r="E3" s="40"/>
      <x:c r="F3" s="40"/>
    </x:row>
    <x:row r="4" ht="24" customHeight="1">
      <x:c r="A4" s="40"/>
      <x:c r="B4" s="40"/>
      <x:c r="C4" s="40"/>
      <x:c r="D4" s="40"/>
      <x:c r="E4" s="40"/>
      <x:c r="F4" s="40"/>
    </x:row>
    <x:row r="5" ht="24" customHeight="1">
      <x:c r="A5" s="134" t="str">
        <x:v>Due period</x:v>
      </x:c>
      <x:c r="B5" s="150" t="str">
        <x:v>Operating leases</x:v>
      </x:c>
      <x:c r="C5" s="151" t="str">
        <x:v>Finance leases</x:v>
      </x:c>
      <x:c r="D5" s="152" t="str">
        <x:v>Purchase and other</x:v>
      </x:c>
      <x:c r="E5" s="151" t="str">
        <x:v>Due from</x:v>
      </x:c>
      <x:c r="F5" s="135" t="str">
        <x:v>Due through</x:v>
      </x:c>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row>
    <x:row r="13" ht="24" customHeight="1">
      <x:c r="A13" s="111"/>
      <x:c r="B13" s="112"/>
      <x:c r="C13" s="112"/>
      <x:c r="D13" s="113"/>
      <x:c r="E13" s="116"/>
      <x:c r="F13" s="117"/>
    </x:row>
    <x:row r="14" ht="24" customHeight="1">
      <x:c r="A14" s="162" t="str">
        <x:v>Calculated payment total</x:v>
      </x:c>
      <x:c r="B14" s="163" t="n">
        <x:f>SUM(B6:B12)</x:f>
        <x:v>48050000000</x:v>
      </x:c>
      <x:c r="C14" s="163" t="n">
        <x:f>SUM(C6:C12)</x:f>
        <x:v>15195000000</x:v>
      </x:c>
      <x:c r="D14" s="164" t="n">
        <x:f>SUM(D6:D12)</x:f>
        <x:v>34150000000</x:v>
      </x:c>
      <x:c r="E14" s="116"/>
      <x:c r="F14" s="117"/>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row>
    <x:row r="16" ht="24" customHeight="1">
      <x:c r="A16" s="111" t="str">
        <x:v>Payment-total difference</x:v>
      </x:c>
      <x:c r="B16" s="118" t="n">
        <x:f>B14-B15</x:f>
        <x:v>0</x:v>
      </x:c>
      <x:c r="C16" s="118" t="n">
        <x:f>C14-C15</x:f>
        <x:v>0</x:v>
      </x:c>
      <x:c r="D16" s="119" t="n">
        <x:f>D14-D15</x:f>
        <x:v>0</x:v>
      </x:c>
      <x:c r="E16" s="116"/>
      <x:c r="F16" s="117"/>
    </x:row>
    <x:row r="17" ht="24" customHeight="1">
      <x:c r="A17" s="111" t="str">
        <x:v>Less: imputed interest</x:v>
      </x:c>
      <x:c r="B17" s="112" t="n">
        <x:f>IF(ISNUMBER('Data'!B45),'Data'!B45,NA())</x:f>
        <x:v>13429000000</x:v>
      </x:c>
      <x:c r="C17" s="112" t="n">
        <x:f>IF(ISNUMBER('Data'!B48),'Data'!B48,NA())</x:f>
        <x:v>6010000000</x:v>
      </x:c>
      <x:c r="D17" s="113"/>
      <x:c r="E17" s="116"/>
      <x:c r="F17" s="117"/>
    </x:row>
    <x:row r="18" ht="24" customHeight="1">
      <x:c r="A18" s="162" t="str">
        <x:v>Calculated lease liability</x:v>
      </x:c>
      <x:c r="B18" s="163" t="n">
        <x:f>B14-B17</x:f>
        <x:v>34621000000</x:v>
      </x:c>
      <x:c r="C18" s="163" t="n">
        <x:f>C14-C17</x:f>
        <x:v>9185000000</x:v>
      </x:c>
      <x:c r="D18" s="164"/>
      <x:c r="E18" s="116"/>
      <x:c r="F18" s="117"/>
    </x:row>
    <x:row r="19" ht="24" customHeight="1">
      <x:c r="A19" s="111" t="str">
        <x:v>Reported lease liability</x:v>
      </x:c>
      <x:c r="B19" s="112" t="n">
        <x:f>IF(ISNUMBER('Data'!B46),'Data'!B46,NA())</x:f>
        <x:v>34621000000</x:v>
      </x:c>
      <x:c r="C19" s="112" t="n">
        <x:f>IF(ISNUMBER('Data'!B49),'Data'!B49,NA())</x:f>
        <x:v>9185000000</x:v>
      </x:c>
      <x:c r="D19" s="113"/>
      <x:c r="E19" s="116"/>
      <x:c r="F19" s="117"/>
    </x:row>
    <x:row r="20" ht="24" customHeight="1">
      <x:c r="A20" s="120" t="str">
        <x:v>Lease-liability difference</x:v>
      </x:c>
      <x:c r="B20" s="121" t="n">
        <x:f>B18-B19</x:f>
        <x:v>0</x:v>
      </x:c>
      <x:c r="C20" s="121" t="n">
        <x:f>C18-C19</x:f>
        <x:v>0</x:v>
      </x:c>
      <x:c r="D20" s="122"/>
      <x:c r="E20" s="123"/>
      <x:c r="F20" s="124"/>
    </x:row>
    <x:row r="21" ht="24" customHeight="1">
      <x:c r="A21" s="40"/>
      <x:c r="B21" s="57"/>
      <x:c r="C21" s="40"/>
      <x:c r="D21" s="74"/>
      <x:c r="E21" s="40"/>
      <x:c r="F21" s="40"/>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row>
    <x:row r="23" ht="24" customHeight="1">
      <x:c r="A23" s="40"/>
      <x:c r="B23" s="57"/>
      <x:c r="C23" s="40"/>
      <x:c r="D23" s="74"/>
      <x:c r="E23" s="74"/>
      <x:c r="F23" s="74"/>
    </x:row>
    <x:row r="24" ht="42" customHeight="1">
      <x:c r="A24" s="127" t="str">
        <x:v>Original revolver commitment</x:v>
      </x:c>
      <x:c r="B24" s="97" t="n">
        <x:f>IF(ISNUMBER('Data'!B57),'Data'!B57,NA())</x:f>
        <x:v>10000000000</x:v>
      </x:c>
      <x:c r="C24" s="40"/>
      <x:c r="D24" s="74" t="str">
        <x:v>Agreement dated March 6, 2026. Original maturity March 6, 2031.</x:v>
      </x:c>
      <x:c r="E24" s="74"/>
      <x:c r="F24" s="74"/>
    </x:row>
    <x:row r="25" ht="42" customHeight="1">
      <x:c r="A25" s="111" t="str">
        <x:v>Revolver drawn at May 31</x:v>
      </x:c>
      <x:c r="B25" s="90" t="n">
        <x:f>IF(ISNUMBER('Data'!B58),'Data'!B58,NA())</x:f>
        <x:v>0</x:v>
      </x:c>
      <x:c r="C25" s="40"/>
      <x:c r="D25" s="74" t="str">
        <x:v>Historical drawing balance only.</x:v>
      </x:c>
      <x:c r="E25" s="74"/>
      <x:c r="F25" s="74"/>
    </x:row>
    <x:row r="26" ht="42" customHeight="1">
      <x:c r="A26" s="111" t="str">
        <x:v>August drawable revolver capacity</x:v>
      </x:c>
      <x:c r="B26" s="91"/>
      <x:c r="C26" s="40"/>
      <x:c r="D26" s="74" t="str">
        <x:v>Unavailable: current drawings, conditions and covenant headroom not established.</x:v>
      </x:c>
      <x:c r="E26" s="74"/>
      <x:c r="F26" s="74"/>
    </x:row>
    <x:row r="27" ht="42" customHeight="1">
      <x:c r="A27" s="120" t="str">
        <x:v>Minimum contractual interest coverage</x:v>
      </x:c>
      <x:c r="B27" s="128" t="n">
        <x:f>IF(ISNUMBER('Data'!B59),'Data'!B59,NA())</x:f>
        <x:v>3</x:v>
      </x:c>
      <x:c r="C27" s="40"/>
      <x:c r="D27" s="74" t="str">
        <x:v>3.0x, contract-defined. Current covenant headroom Unavailable.</x:v>
      </x:c>
      <x:c r="E27" s="74"/>
      <x:c r="F27" s="74"/>
    </x:row>
    <x:row r="28" ht="24" customHeight="1">
      <x:c r="A28" s="40"/>
      <x:c r="B28" s="57"/>
      <x:c r="C28" s="40"/>
      <x:c r="D28" s="74"/>
      <x:c r="E28" s="74"/>
      <x:c r="F28" s="74"/>
    </x:row>
    <x:row r="29" ht="24" customHeight="1">
      <x:c r="A29" s="72" t="str">
        <x:v>The May borrowing schedule is historical; remaining August debt maturities are Unavailable.</x:v>
      </x:c>
      <x:c r="B29" s="57"/>
      <x:c r="C29" s="40"/>
      <x:c r="D29" s="74"/>
      <x:c r="E29" s="74"/>
      <x:c r="F29" s="74"/>
    </x:row>
    <x:row r="30" ht="24" customHeight="1">
      <x:c r="A30" s="72" t="str">
        <x:v>The $20B gross ATM program was fully used in Q1. It is not unused equity capacity.</x:v>
      </x:c>
      <x:c r="B30" s="57"/>
      <x:c r="C30" s="40"/>
      <x:c r="D30" s="74"/>
      <x:c r="E30" s="74"/>
      <x:c r="F30" s="74"/>
    </x:row>
    <x:row r="31" ht="24" customHeight="1">
      <x:c r="A31" s="72" t="str">
        <x:v>Purchase obligations, unpaid capex and leases may overlap. No aggregate funding requirement is inferred.</x:v>
      </x:c>
      <x:c r="B31" s="57"/>
      <x:c r="C31" s="40"/>
      <x:c r="D31" s="74"/>
      <x:c r="E31" s="74"/>
      <x:c r="F31" s="74"/>
    </x:row>
    <x:row r="32" ht="24" customHeight="1">
      <x:c r="A32" s="72"/>
      <x:c r="B32" s="57"/>
      <x:c r="C32" s="40"/>
      <x:c r="D32" s="74"/>
      <x:c r="E32" s="74"/>
      <x:c r="F32" s="74"/>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unless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Latest saved filing September 14; no complete later inventory.</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Latest saved filing September 14; no complete later inventory.</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Latest saved filing September 14; no complete later inventory.</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Latest saved filing September 14; no complete later inventory.</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Latest saved filing September 14; no complete later inventory.</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Latest saved filing September 14; no complete later inventory.</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Latest saved filing September 14; no complete later inventory.</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x:v>
      </x:c>
      <x:c r="Q84" s="167" t="str">
        <x:v>051dd4893fa497f36d99c8a355cbc90107f56e1a628c78e38c76e7dca0d4a6fd</x:v>
      </x:c>
      <x:c r="R84" s="169" t="str">
        <x:v>iso4217:USD; Exact tag, duration, USD, Oracle CIK and no dimensions; agreeing duplicates only</x:v>
      </x:c>
    </x:row>
    <x:row r="85" ht="45" customHeight="1">
      <x:c r="A85" s="100" t="str">
        <x:v>coverage_prior_lease_interest</x:v>
      </x:c>
      <x:c r="B85" s="171" t="n">
        <x:v>48000000</x:v>
      </x:c>
      <x:c r="C85" s="172" t="str">
        <x:v>prior lease_interest</x:v>
      </x:c>
      <x:c r="D85" s="173" t="d">
        <x:v>2025-06-01T00:00:00.000Z</x:v>
      </x:c>
      <x:c r="E85" s="173" t="d">
        <x:v>2025-08-31T00:00:00.000Z</x:v>
      </x:c>
      <x:c r="F85" s="172" t="str">
        <x:v>10-Q</x:v>
      </x:c>
      <x:c r="G85" s="173" t="d">
        <x:v>2026-09-11T00:00:00.000Z</x:v>
      </x:c>
      <x:c r="H85" s="172" t="str">
        <x:v>0001193125-26-389274</x:v>
      </x:c>
      <x:c r="I85" s="172" t="str">
        <x:v>us-gaap:FinanceLeaseInterestExpense</x:v>
      </x:c>
      <x:c r="J85" s="172" t="str">
        <x:v>C_a0bdcecc-b2bf-40f4-8106-f50197737571</x:v>
      </x:c>
      <x:c r="K85" s="172" t="n">
        <x:v>6</x:v>
      </x:c>
      <x:c r="L85" s="172" t="str">
        <x:v>-6</x:v>
      </x:c>
      <x:c r="M85" s="172" t="str">
        <x:v>https://www.sec.gov/Archives/edgar/data/1341439/000119312526389274/orcl-20260831.htm</x:v>
      </x:c>
      <x:c r="N85" s="172" t="str">
        <x:v>Leases Note 6 p. 12</x:v>
      </x:c>
      <x:c r="O85" s="172" t="str"/>
      <x:c r="P85" s="172" t="str">
        <x:v>[]</x:v>
      </x:c>
      <x:c r="Q85" s="172" t="str">
        <x:v>051dd4893fa497f36d99c8a355cbc90107f56e1a628c78e38c76e7dca0d4a6fd</x:v>
      </x:c>
      <x:c r="R85" s="174" t="str">
        <x:v>iso4217:USD; Exact tag, duration, USD, Oracle CIK and no dimensions; agreeing duplicates only</x:v>
      </x:c>
    </x:row>
    <x:row r="88" ht="72" customHeight="1">
      <x:c r="A88" s="13" t="str">
        <x:v>Funding conclusion evidence</x:v>
      </x:c>
      <x:c r="B88" s="219" t="str">
        <x:v>Filing / filed date</x:v>
      </x:c>
      <x:c r="C88" s="219" t="str">
        <x:v>Accession</x:v>
      </x:c>
      <x:c r="D88" s="14" t="str">
        <x:v>Location</x:v>
      </x:c>
      <x:c r="M88" s="223" t="str">
        <x:v>SEC source</x:v>
      </x:c>
    </x:row>
    <x:row r="89" ht="72" customHeight="1">
      <x:c r="A89" s="25" t="str">
        <x:v>Near-term obligations</x:v>
      </x:c>
      <x:c r="B89" s="205" t="str">
        <x:v>10-Q filed Sep 11, 2026</x:v>
      </x:c>
      <x:c r="C89" s="205" t="str">
        <x:v>0001193125-26-389274</x:v>
      </x:c>
      <x:c r="D89" s="16" t="str">
        <x:v>pp. 1–2, 5–7, 12–14, 32–35</x:v>
      </x:c>
      <x:c r="M89" s="208" t="str">
        <x:v>https://www.sec.gov/Archives/edgar/data/1341439/000119312526389274/orcl-20260831.htm</x:v>
      </x:c>
    </x:row>
    <x:row r="90" ht="72" customHeight="1">
      <x:c r="A90" s="25" t="str">
        <x:v>Resources and access</x:v>
      </x:c>
      <x:c r="B90" s="205" t="str">
        <x:v>10-Q filed Sep 11, 2026</x:v>
      </x:c>
      <x:c r="C90" s="205" t="str">
        <x:v>0001193125-26-389274</x:v>
      </x:c>
      <x:c r="D90" s="16" t="str">
        <x:v>pp. 1–2, 5–7, 12–14, 32–35</x:v>
      </x:c>
      <x:c r="M90" s="208" t="str">
        <x:v>https://www.sec.gov/Archives/edgar/data/1341439/000119312526389274/orcl-20260831.htm</x:v>
      </x:c>
    </x:row>
    <x:row r="91" ht="72" customHeight="1">
      <x:c r="A91" s="25" t="str">
        <x:v>Resources and access</x:v>
      </x:c>
      <x:c r="B91" s="205" t="str">
        <x:v>10-K filed Jun 22, 2026</x:v>
      </x:c>
      <x:c r="C91" s="205" t="str">
        <x:v>0001193125-26-277521</x:v>
      </x:c>
      <x:c r="D91" s="16" t="str">
        <x:v>pp. 50, 65, 83–85, 88</x:v>
      </x:c>
      <x:c r="M91" s="208" t="str">
        <x:v>https://www.sec.gov/Archives/edgar/data/1341439/000119312526277521/orcl-20260531.htm</x:v>
      </x:c>
    </x:row>
    <x:row r="92" ht="72" customHeight="1">
      <x:c r="A92" s="25" t="str">
        <x:v>Resources and access</x:v>
      </x:c>
      <x:c r="B92" s="205" t="str">
        <x:v>Credit agreement filed Mar 11, 2026</x:v>
      </x:c>
      <x:c r="C92" s="205" t="str">
        <x:v>0001193125-26-101045</x:v>
      </x:c>
      <x:c r="D92" s="16" t="str">
        <x:v>§§2.01, 2.21, 4.02, 6.02(c)</x:v>
      </x:c>
      <x:c r="M92" s="208" t="str">
        <x:v>https://www.sec.gov/Archives/edgar/data/1341439/000119312526101045/orcl-ex10_17.htm</x:v>
      </x:c>
    </x:row>
    <x:row r="93" ht="72" customHeight="1">
      <x:c r="A93" s="25" t="str">
        <x:v>Competing cash uses</x:v>
      </x:c>
      <x:c r="B93" s="205" t="str">
        <x:v>10-Q filed Sep 11, 2026</x:v>
      </x:c>
      <x:c r="C93" s="205" t="str">
        <x:v>0001193125-26-389274</x:v>
      </x:c>
      <x:c r="D93" s="16" t="str">
        <x:v>pp. 1–2, 5–7, 12–14, 32–35</x:v>
      </x:c>
      <x:c r="M93" s="208" t="str">
        <x:v>https://www.sec.gov/Archives/edgar/data/1341439/000119312526389274/orcl-20260831.htm</x:v>
      </x:c>
    </x:row>
    <x:row r="94" ht="72" customHeight="1">
      <x:c r="A94" s="25" t="str">
        <x:v>Decisive unknowns</x:v>
      </x:c>
      <x:c r="B94" s="205" t="str">
        <x:v>10-Q filed Sep 11, 2026</x:v>
      </x:c>
      <x:c r="C94" s="205" t="str">
        <x:v>0001193125-26-389274</x:v>
      </x:c>
      <x:c r="D94" s="16" t="str">
        <x:v>pp. 1–2, 5–7, 12–14, 32–35</x:v>
      </x:c>
      <x:c r="M94" s="208" t="str">
        <x:v>https://www.sec.gov/Archives/edgar/data/1341439/000119312526389274/orcl-20260831.htm</x:v>
      </x:c>
    </x:row>
    <x:row r="95" ht="72" customHeight="1">
      <x:c r="A95" s="25" t="str">
        <x:v>Decisive unknowns</x:v>
      </x:c>
      <x:c r="B95" s="205" t="str">
        <x:v>10-K filed Jun 22, 2026</x:v>
      </x:c>
      <x:c r="C95" s="205" t="str">
        <x:v>0001193125-26-277521</x:v>
      </x:c>
      <x:c r="D95" s="16" t="str">
        <x:v>pp. 50, 65, 83–85, 88</x:v>
      </x:c>
      <x:c r="M95" s="208" t="str">
        <x:v>https://www.sec.gov/Archives/edgar/data/1341439/000119312526277521/orcl-20260531.htm</x:v>
      </x:c>
    </x:row>
    <x:row r="96" ht="72" customHeight="1">
      <x:c r="A96" s="25" t="str">
        <x:v>Decisive unknowns</x:v>
      </x:c>
      <x:c r="B96" s="205" t="str">
        <x:v>Credit agreement filed Mar 11, 2026</x:v>
      </x:c>
      <x:c r="C96" s="205" t="str">
        <x:v>0001193125-26-101045</x:v>
      </x:c>
      <x:c r="D96" s="16" t="str">
        <x:v>§§2.01, 2.21, 4.02, 6.02(c)</x:v>
      </x:c>
      <x:c r="M96" s="208" t="str">
        <x:v>https://www.sec.gov/Archives/edgar/data/1341439/000119312526101045/orcl-ex10_17.htm</x:v>
      </x:c>
    </x:row>
    <x:row r="97" ht="72" customHeight="1">
      <x:c r="A97" s="25" t="str">
        <x:v>Historical coverage</x:v>
      </x:c>
      <x:c r="B97" s="205" t="str">
        <x:v>10-Q filed Sep 11, 2026</x:v>
      </x:c>
      <x:c r="C97" s="205" t="str">
        <x:v>0001193125-26-389274</x:v>
      </x:c>
      <x:c r="D97" s="16" t="str">
        <x:v>pp. 1–2, 5–7, 12–14, 32–35</x:v>
      </x:c>
      <x:c r="M97" s="208" t="str">
        <x:v>https://www.sec.gov/Archives/edgar/data/1341439/000119312526389274/orcl-20260831.htm</x:v>
      </x:c>
    </x:row>
    <x:row r="98" ht="72" customHeight="1">
      <x:c r="A98" s="26" t="str">
        <x:v>Historical coverage</x:v>
      </x:c>
      <x:c r="B98" s="206" t="str">
        <x:v>10-K filed Jun 22, 2026</x:v>
      </x:c>
      <x:c r="C98" s="206" t="str">
        <x:v>0001193125-26-277521</x:v>
      </x:c>
      <x:c r="D98" s="18" t="str">
        <x:v>pp. 50, 65, 83–85, 88</x:v>
      </x:c>
      <x:c r="M98" s="209" t="str">
        <x:v>https://www.sec.gov/Archives/edgar/data/1341439/000119312526277521/orcl-20260531.htm</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60" customHeight="1">
      <x:c r="A2" s="89" t="str">
        <x:v>Snapshot</x:v>
      </x:c>
      <x:c r="B2" s="167" t="str">
        <x:v>Saved Oracle review of June 1–August 31, 2026, checked October 15,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60" customHeight="1">
      <x:c r="A13" s="89" t="str">
        <x:v>Later filing scope</x:v>
      </x:c>
      <x:c r="B13" s="167" t="str">
        <x:v>Two saved later 8-Ks and exhibits reviewed. This does not rebuild a complete current submissions index. Unmatched later filings remain Not checked.</x:v>
      </x:c>
      <x:c r="C13" s="169"/>
    </x:row>
    <x:row r="14" ht="60"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60"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Seven saved documents: the May 31 10-K, August 31 10-Q, March 6 credit agreement, and the September 10 and September 14 8-Ks with their exhibits. The latest saved filing is September 14, 2026. This is not a complete later-filing inventory.</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sheetData>
  <x:pageMargins left="0.7" right="0.7" top="0.75" bottom="0.75" header="0.3" footer="0.3"/>
</x:worksheet>
</file>