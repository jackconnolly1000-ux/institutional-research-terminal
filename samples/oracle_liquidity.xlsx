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15a0eee5d2479a" /></Relationships>
</file>

<file path=xl/workbook.xml><?xml version="1.0" encoding="utf-8"?>
<x:workbook xmlns:x="http://schemas.openxmlformats.org/spreadsheetml/2006/main">
  <x:sheets>
    <x:sheet xmlns:r="http://schemas.openxmlformats.org/officeDocument/2006/relationships" name="Funding conclusion" sheetId="1" r:id="Rbc34fa611471430b"/>
    <x:sheet xmlns:r="http://schemas.openxmlformats.org/officeDocument/2006/relationships" name="Borrowing and leases" sheetId="2" r:id="R8fb20ffd307145c7"/>
    <x:sheet xmlns:r="http://schemas.openxmlformats.org/officeDocument/2006/relationships" name="Debt and liquidity" sheetId="3" r:id="R01e0de268e9441a0"/>
    <x:sheet xmlns:r="http://schemas.openxmlformats.org/officeDocument/2006/relationships" name="History" sheetId="4" r:id="Rf466f6da49b64392"/>
    <x:sheet xmlns:r="http://schemas.openxmlformats.org/officeDocument/2006/relationships" name="Core charts" sheetId="5" r:id="R75b0e52dc5c240f7"/>
    <x:sheet xmlns:r="http://schemas.openxmlformats.org/officeDocument/2006/relationships" name="Repayment review" sheetId="6" r:id="R82d20c5087c743c7"/>
    <x:sheet xmlns:r="http://schemas.openxmlformats.org/officeDocument/2006/relationships" name="Cash analysis" sheetId="7" r:id="R56ab1a0fe9324871"/>
    <x:sheet xmlns:r="http://schemas.openxmlformats.org/officeDocument/2006/relationships" name="Payment dates" sheetId="8" r:id="Rd29a170bdf6d40cc"/>
    <x:sheet xmlns:r="http://schemas.openxmlformats.org/officeDocument/2006/relationships" name="Data" sheetId="9" r:id="R217faac6929243f0"/>
    <x:sheet xmlns:r="http://schemas.openxmlformats.org/officeDocument/2006/relationships" name="About" sheetId="10" r:id="Rba2f098eb341466d"/>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e390d88fd1418a" /><Relationship Type="http://schemas.openxmlformats.org/officeDocument/2006/relationships/theme" Target="/xl/theme/theme1.xml" Id="R98ef00fa28b6496b" /><Relationship Type="http://schemas.openxmlformats.org/officeDocument/2006/relationships/sharedStrings" Target="/xl/sharedStrings.xml" Id="R83b9f8962f1e4542" /><Relationship Type="http://schemas.openxmlformats.org/officeDocument/2006/relationships/worksheet" Target="/xl/worksheets/sheet1.xml" Id="Rbc34fa611471430b" /><Relationship Type="http://schemas.openxmlformats.org/officeDocument/2006/relationships/worksheet" Target="/xl/worksheets/sheet2.xml" Id="R8fb20ffd307145c7" /><Relationship Type="http://schemas.openxmlformats.org/officeDocument/2006/relationships/worksheet" Target="/xl/worksheets/sheet3.xml" Id="R01e0de268e9441a0" /><Relationship Type="http://schemas.openxmlformats.org/officeDocument/2006/relationships/worksheet" Target="/xl/worksheets/sheet4.xml" Id="Rf466f6da49b64392" /><Relationship Type="http://schemas.openxmlformats.org/officeDocument/2006/relationships/worksheet" Target="/xl/worksheets/sheet5.xml" Id="R75b0e52dc5c240f7" /><Relationship Type="http://schemas.openxmlformats.org/officeDocument/2006/relationships/worksheet" Target="/xl/worksheets/sheet6.xml" Id="R82d20c5087c743c7" /><Relationship Type="http://schemas.openxmlformats.org/officeDocument/2006/relationships/worksheet" Target="/xl/worksheets/sheet7.xml" Id="R56ab1a0fe9324871" /><Relationship Type="http://schemas.openxmlformats.org/officeDocument/2006/relationships/worksheet" Target="/xl/worksheets/sheet8.xml" Id="Rd29a170bdf6d40cc" /><Relationship Type="http://schemas.openxmlformats.org/officeDocument/2006/relationships/worksheet" Target="/xl/worksheets/sheet9.xml" Id="R217faac6929243f0" /><Relationship Type="http://schemas.openxmlformats.org/officeDocument/2006/relationships/worksheet" Target="/xl/worksheets/sheet10.xml" Id="Rba2f098eb341466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76ebfbc184f4038" /><Relationship Type="http://schemas.openxmlformats.org/officeDocument/2006/relationships/chart" Target="/xl/drawings/charts/chart2.xml" Id="Rc88f7fedc9c64e31" /></Relationships>
</file>

<file path=xl/drawings/_rels/drawing2.xml.rels>&#65279;<?xml version="1.0" encoding="utf-8"?><Relationships xmlns="http://schemas.openxmlformats.org/package/2006/relationships"><Relationship Type="http://schemas.openxmlformats.org/officeDocument/2006/relationships/chart" Target="/xl/drawings/charts/chart3.xml" Id="R2c8b5d8aff9e405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6ebfbc184f403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8f7fedc9c64e31"/>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8b5d8aff9e405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406eecca7bfb4a7d" /></Relationships>
</file>

<file path=xl/worksheets/_rels/sheet7.xml.rels>&#65279;<?xml version="1.0" encoding="utf-8"?><Relationships xmlns="http://schemas.openxmlformats.org/package/2006/relationships"><Relationship Type="http://schemas.openxmlformats.org/officeDocument/2006/relationships/drawing" Target="/xl/drawings/drawing2.xml" Id="Rfdc6dd442657469c"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14" customHeight="1">
      <x:c r="A7" s="25" t="str">
        <x:v>Baseline gross debt</x:v>
      </x:c>
      <x:c r="B7" s="241" t="n">
        <x:f>IF(ISNUMBER('Data'!B132),'Data'!B132,NA())+IF(ISNUMBER('Data'!B133),'Data'!B133,NA())</x:f>
        <x:v>129541000000</x:v>
      </x:c>
      <x:c r="C7" s="241" t="n">
        <x:f>'Debt and liquidity'!B7</x:f>
        <x:v>125337000000</x:v>
      </x:c>
      <x:c r="D7" s="16"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62" customHeight="1">
      <x:c r="A10" s="25" t="str">
        <x:v>Operating cash flow</x:v>
      </x:c>
      <x:c r="B10" s="241" t="n">
        <x:f>IF(ISNUMBER('Data'!B134),'Data'!B134,NA())</x:f>
        <x:v>31977000000</x:v>
      </x:c>
      <x:c r="C10" s="241" t="n">
        <x:f>'Debt and liquidity'!B10</x:f>
        <x:v>46940000000</x:v>
      </x:c>
      <x:c r="D10" s="1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OCF / borrowing at each period end. Prior column uses the fiscal year; later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FCF / borrowing at each period end. Prior column uses the fiscal year; later column uses TTM. Not repayment coverage.</x:v>
      </x:c>
    </x:row>
    <x:row r="15" ht="62" customHeight="1">
      <x:c r="A15" s="26" t="str">
        <x:v>Historical interest coverage</x:v>
      </x:c>
      <x:c r="B15" s="293" t="n">
        <x:f>IF(AND('Cash analysis'!B46&gt;0),'Cash analysis'!B45/'Cash analysis'!B46,NA())</x:f>
        <x:v>4.480539247662535</x:v>
      </x:c>
      <x:c r="C15" s="293" t="n">
        <x:f>'Debt and liquidity'!B15</x:f>
        <x:v>4.517437304075235</x:v>
      </x:c>
      <x:c r="D15" s="18" t="str">
        <x:v>Reported interest expense before any interest-income offset. The saved 10-K and 10-Q do not state its capitalized-interest basis. Capitalized interest and total interest incurred are Unavailable; neither is assumed zero or added to or subtracted from expense.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09" t="n">
        <x:f>'Debt and liquidity'!B10</x:f>
        <x:v>46940000000</x:v>
      </x:c>
      <x:c r="C6" s="4"/>
      <x:c r="D6" s="4"/>
      <x:c r="E6" s="2"/>
      <x:c r="F6" s="2"/>
      <x:c r="G6" s="2"/>
      <x:c r="H6" s="2"/>
      <x:c r="I6" s="2"/>
      <x:c r="J6" s="2"/>
      <x:c r="K6" s="2"/>
      <x:c r="L6" s="2"/>
      <x:c r="M6" s="2"/>
      <x:c r="N6" s="2"/>
      <x:c r="O6" s="2"/>
    </x:row>
    <x:row r="7" ht="35" customHeight="1">
      <x:c r="A7" s="25" t="str">
        <x:v>Capital spending</x:v>
      </x:c>
      <x:c r="B7" s="309" t="n">
        <x:f>-'Debt and liquidity'!B11</x:f>
        <x:v>-75660000000</x:v>
      </x:c>
      <x:c r="C7" s="4"/>
      <x:c r="D7" s="4"/>
      <x:c r="E7" s="2"/>
      <x:c r="F7" s="2"/>
      <x:c r="G7" s="2"/>
      <x:c r="H7" s="2"/>
      <x:c r="I7" s="2"/>
      <x:c r="J7" s="2"/>
      <x:c r="K7" s="2"/>
      <x:c r="L7" s="2"/>
      <x:c r="M7" s="2"/>
      <x:c r="N7" s="2"/>
      <x:c r="O7" s="2"/>
    </x:row>
    <x:row r="8" ht="35" customHeight="1">
      <x:c r="A8" s="26" t="str">
        <x:v>Free cash flow</x:v>
      </x:c>
      <x:c r="B8" s="310"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41" t="n">
        <x:f>'History'!B6</x:f>
        <x:v>31289000000</x:v>
      </x:c>
      <x:c r="C25" s="309" t="n">
        <x:f>'History'!B7</x:f>
        <x:v>129541000000</x:v>
      </x:c>
      <x:c r="D25" s="4"/>
      <x:c r="E25" s="2"/>
      <x:c r="F25" s="2"/>
      <x:c r="G25" s="2"/>
      <x:c r="H25" s="2"/>
      <x:c r="I25" s="2"/>
      <x:c r="J25" s="2"/>
      <x:c r="K25" s="2"/>
      <x:c r="L25" s="2"/>
      <x:c r="M25" s="2"/>
      <x:c r="N25" s="2"/>
      <x:c r="O25" s="2"/>
    </x:row>
    <x:row r="26" ht="35" customHeight="1">
      <x:c r="A26" s="26" t="str">
        <x:v>2026-08-31</x:v>
      </x:c>
      <x:c r="B26" s="311" t="n">
        <x:f>'History'!C6</x:f>
        <x:v>36369000000</x:v>
      </x:c>
      <x:c r="C26" s="310"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35" customHeight="1">
      <x:c r="A41" s="4"/>
      <x:c r="B41" s="4"/>
      <x:c r="C41" s="4"/>
      <x:c r="D41" s="4"/>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406eecca7bfb4a7d"/>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fdc6dd442657469c"/>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exact checked instant</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exact checked instant</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checked instant</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checked instant</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checked instant</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checked instant</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checked instant</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checked instant</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checked instant</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row r="25" ht="70" customHeight="1">
      <x:c r="A25" s="305" t="str">
        <x:v>Core charts</x:v>
      </x:c>
      <x:c r="B25" s="306" t="str">
        <x:v>Two native charts link to Debt and liquidity and History. Signed capital spending is a use; FCF is the result. Unsupported older Vistra borrowing is omitted, never plotted as zero.</x:v>
      </x:c>
      <x:c r="C25" s="307" t="str">
        <x:v>https://github.com/jackconnolly1000-ux/sec-filing-research-terminal/blob/main/docs/core_charts.md</x:v>
      </x:c>
    </x:row>
  </x:sheetData>
  <x:pageMargins left="0.7" right="0.7" top="0.75" bottom="0.75" header="0.3" footer="0.3"/>
</x:worksheet>
</file>