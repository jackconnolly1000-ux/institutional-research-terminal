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8325b68120440ee" /></Relationships>
</file>

<file path=xl/workbook.xml><?xml version="1.0" encoding="utf-8"?>
<x:workbook xmlns:x="http://schemas.openxmlformats.org/spreadsheetml/2006/main">
  <x:sheets>
    <x:sheet xmlns:r="http://schemas.openxmlformats.org/officeDocument/2006/relationships" name="Funding conclusion" sheetId="1" r:id="Rbda596871c7b45ac"/>
    <x:sheet xmlns:r="http://schemas.openxmlformats.org/officeDocument/2006/relationships" name="Borrowing and leases" sheetId="2" r:id="R2bc591dbe04148a3"/>
    <x:sheet xmlns:r="http://schemas.openxmlformats.org/officeDocument/2006/relationships" name="Debt and liquidity" sheetId="3" r:id="Rad97f6526dc24b88"/>
    <x:sheet xmlns:r="http://schemas.openxmlformats.org/officeDocument/2006/relationships" name="History" sheetId="4" r:id="R0955e02cfc4445f7"/>
    <x:sheet xmlns:r="http://schemas.openxmlformats.org/officeDocument/2006/relationships" name="Core charts" sheetId="5" r:id="Ra1eca51e304642ef"/>
    <x:sheet xmlns:r="http://schemas.openxmlformats.org/officeDocument/2006/relationships" name="Cash review" sheetId="6" r:id="Rcc53bbd39fab4259"/>
    <x:sheet xmlns:r="http://schemas.openxmlformats.org/officeDocument/2006/relationships" name="Payment dates" sheetId="7" r:id="R29e76fd01a364eaf"/>
    <x:sheet xmlns:r="http://schemas.openxmlformats.org/officeDocument/2006/relationships" name="Financing capacity" sheetId="8" r:id="R0befd8f0200d40f9"/>
    <x:sheet xmlns:r="http://schemas.openxmlformats.org/officeDocument/2006/relationships" name="Data" sheetId="9" r:id="Rb817015958e546e9"/>
    <x:sheet xmlns:r="http://schemas.openxmlformats.org/officeDocument/2006/relationships" name="About" sheetId="10" r:id="Rfefb9fed641343c2"/>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quot;x&quot;"/>
    <x:numFmt numFmtId="201" formatCode="#,##0,,;(#,##0,,);&quot;-&quot;"/>
    <x:numFmt numFmtId="202" formatCode="mmm d, yyyy"/>
    <x:numFmt numFmtId="203" formatCode="#,##0.00,,;(#,##0.00,,);0.00"/>
    <x:numFmt numFmtId="204" formatCode="0.0%"/>
  </x:numFmts>
  <x:fonts count="24">
    <x:font>
      <x:sz val="11"/>
      <x:name val="Carlito"/>
    </x:font>
    <x:font>
      <x:sz val="11"/>
      <x:name val="Arial"/>
    </x:font>
    <x:font>
      <x:sz val="10"/>
      <x:name val="Arial"/>
    </x:font>
    <x:font>
      <x:b/>
      <x:sz val="10"/>
      <x:name val="Arial"/>
    </x:font>
    <x:font>
      <x:b/>
      <x:sz val="14"/>
      <x:name val="Arial"/>
    </x:font>
    <x:font>
      <x:i/>
      <x:sz val="10"/>
      <x:name val="Arial"/>
    </x:font>
    <x:font>
      <x:i/>
      <x:sz val="10"/>
      <x:color rgb="FF008000"/>
      <x:name val="Arial"/>
    </x:font>
    <x:font>
      <x:sz val="11"/>
      <x:color rgb="FF0000FF"/>
      <x:name val="Carlito"/>
    </x:font>
    <x:font>
      <x:sz val="11"/>
      <x:color rgb="FF008000"/>
      <x:name val="Carlito"/>
    </x:font>
    <x:font>
      <x:sz val="11"/>
      <x:color rgb="FF000000"/>
      <x:name val="Carlito"/>
    </x:font>
    <x:font>
      <x:sz val="11"/>
      <x:color rgb="FF008000"/>
      <x:name val="Arial"/>
    </x:font>
    <x:font>
      <x:sz val="11"/>
      <x:color rgb="FF000000"/>
      <x:name val="Arial"/>
    </x:font>
    <x:font>
      <x:sz val="10"/>
      <x:color rgb="FF008000"/>
      <x:name val="Arial"/>
    </x:font>
    <x:font>
      <x:sz val="10"/>
      <x:color rgb="FF000000"/>
      <x:name val="Arial"/>
    </x:font>
    <x:font>
      <x:sz val="11"/>
      <x:color rgb="FF0000FF"/>
      <x:name val="Arial"/>
    </x:font>
    <x:font>
      <x:sz val="10"/>
      <x:color rgb="FF0000FF"/>
      <x:name val="Arial"/>
    </x:font>
    <x:font>
      <x:b/>
      <x:sz val="11"/>
      <x:name val="Carlito"/>
    </x:font>
    <x:font>
      <x:b/>
      <x:sz val="10"/>
      <x:color rgb="FF000000"/>
      <x:name val="Arial"/>
    </x:font>
    <x:font>
      <x:i/>
      <x:sz val="10"/>
      <x:color rgb="FF000000"/>
      <x:name val="Arial"/>
    </x:font>
    <x:font>
      <x:b/>
      <x:sz val="10"/>
      <x:color rgb="FF008000"/>
      <x:name val="Arial"/>
    </x:font>
    <x:font>
      <x:b/>
      <x:i/>
      <x:sz val="10"/>
      <x:name val="Arial"/>
    </x:font>
    <x:font>
      <x:b/>
      <x:i/>
      <x:sz val="10"/>
      <x:color rgb="FF000000"/>
      <x:name val="Arial"/>
    </x:font>
    <x:font>
      <x:b/>
      <x:sz val="14"/>
      <x:name val="Carlito"/>
    </x:font>
    <x:font>
      <x:sz val="10"/>
      <x:name val="Arial"/>
    </x:font>
  </x:fonts>
  <x:fills count="3">
    <x:fill>
      <x:patternFill patternType="none"/>
    </x:fill>
    <x:fill>
      <x:patternFill patternType="gray125"/>
    </x:fill>
    <x:fill>
      <x:patternFill patternType="solid">
        <x:fgColor rgb="FFF0F2F5"/>
      </x:patternFill>
    </x:fill>
  </x:fills>
  <x:borders count="22">
    <x:border>
      <x:left/>
      <x:right/>
      <x:top/>
      <x:bottom/>
      <x:diagonal/>
    </x:border>
    <x:border>
      <x:left/>
      <x:right/>
      <x:top/>
      <x:bottom style="thin">
        <x:color rgb="FFBBC3CD"/>
      </x:bottom>
      <x:diagonal/>
    </x:border>
    <x:border>
      <x:left style="thin">
        <x:color rgb="FFBBC3CD"/>
      </x:left>
      <x:right style="thin">
        <x:color rgb="FFDDE2E7"/>
      </x:right>
      <x:top style="thin">
        <x:color rgb="FFBBC3CD"/>
      </x:top>
      <x:bottom style="thin">
        <x:color rgb="FFBBC3CD"/>
      </x:bottom>
      <x:diagonal/>
    </x:border>
    <x:border>
      <x:left style="thin">
        <x:color rgb="FFDDE2E7"/>
      </x:left>
      <x:right style="thin">
        <x:color rgb="FFBBC3CD"/>
      </x:right>
      <x:top style="thin">
        <x:color rgb="FFBBC3CD"/>
      </x:top>
      <x:bottom style="thin">
        <x:color rgb="FFBBC3CD"/>
      </x:bottom>
      <x:diagonal/>
    </x:border>
    <x:border>
      <x:left style="thin">
        <x:color rgb="FFBBC3CD"/>
      </x:left>
      <x:right style="thin">
        <x:color rgb="FFDDE2E7"/>
      </x:right>
      <x:top/>
      <x:bottom/>
      <x:diagonal/>
    </x:border>
    <x:border>
      <x:left style="thin">
        <x:color rgb="FFDDE2E7"/>
      </x:left>
      <x:right style="thin">
        <x:color rgb="FFBBC3CD"/>
      </x:right>
      <x:top/>
      <x:bottom/>
      <x:diagonal/>
    </x:border>
    <x:border>
      <x:left style="thin">
        <x:color rgb="FFBBC3CD"/>
      </x:left>
      <x:right style="thin">
        <x:color rgb="FFDDE2E7"/>
      </x:right>
      <x:top/>
      <x:bottom style="thin">
        <x:color rgb="FFBBC3CD"/>
      </x:bottom>
      <x:diagonal/>
    </x:border>
    <x:border>
      <x:left style="thin">
        <x:color rgb="FFDDE2E7"/>
      </x:left>
      <x:right style="thin">
        <x:color rgb="FFBBC3CD"/>
      </x:right>
      <x:top/>
      <x:bottom style="thin">
        <x:color rgb="FFBBC3CD"/>
      </x:bottom>
      <x:diagonal/>
    </x:border>
    <x:border>
      <x:left/>
      <x:right/>
      <x:top/>
      <x:bottom style="thin">
        <x:color rgb="FFAEB4BD"/>
      </x:bottom>
      <x:diagonal/>
    </x:border>
    <x:border>
      <x:left style="thin">
        <x:color rgb="FFBBC3CD"/>
      </x:left>
      <x:right style="thin">
        <x:color rgb="FFDDE2E7"/>
      </x:right>
      <x:top style="thin">
        <x:color rgb="FFBBC3CD"/>
      </x:top>
      <x:bottom style="thin">
        <x:color rgb="FFAEB4BD"/>
      </x:bottom>
      <x:diagonal/>
    </x:border>
    <x:border>
      <x:left style="thin">
        <x:color rgb="FFDDE2E7"/>
      </x:left>
      <x:right style="thin">
        <x:color rgb="FFBBC3CD"/>
      </x:right>
      <x:top style="thin">
        <x:color rgb="FFBBC3CD"/>
      </x:top>
      <x:bottom style="thin">
        <x:color rgb="FFAEB4BD"/>
      </x:bottom>
      <x:diagonal/>
    </x:border>
    <x:border>
      <x:left style="thin">
        <x:color rgb="FFBBC3CD"/>
      </x:left>
      <x:right style="thin">
        <x:color rgb="FFDDE2E7"/>
      </x:right>
      <x:top style="thin">
        <x:color rgb="FFBBC3CD"/>
      </x:top>
      <x:bottom/>
      <x:diagonal/>
    </x:border>
    <x:border>
      <x:left style="thin">
        <x:color rgb="FFDDE2E7"/>
      </x:left>
      <x:right style="thin">
        <x:color rgb="FFBBC3CD"/>
      </x:right>
      <x:top style="thin">
        <x:color rgb="FFBBC3CD"/>
      </x:top>
      <x:bottom/>
      <x:diagonal/>
    </x:border>
    <x:border>
      <x:left style="thin">
        <x:color rgb="FFDDE2E7"/>
      </x:left>
      <x:right style="thin">
        <x:color rgb="FFDDE2E7"/>
      </x:right>
      <x:top style="thin">
        <x:color rgb="FFBBC3CD"/>
      </x:top>
      <x:bottom style="thin">
        <x:color rgb="FFAEB4BD"/>
      </x:bottom>
      <x:diagonal/>
    </x:border>
    <x:border>
      <x:left style="thin">
        <x:color rgb="FFDDE2E7"/>
      </x:left>
      <x:right style="thin">
        <x:color rgb="FFDDE2E7"/>
      </x:right>
      <x:top/>
      <x:bottom/>
      <x:diagonal/>
    </x:border>
    <x:border>
      <x:left style="thin">
        <x:color rgb="FFDDE2E7"/>
      </x:left>
      <x:right style="thin">
        <x:color rgb="FFDDE2E7"/>
      </x:right>
      <x:top/>
      <x:bottom style="thin">
        <x:color rgb="FFBBC3CD"/>
      </x:bottom>
      <x:diagonal/>
    </x:border>
    <x:border>
      <x:left style="thin">
        <x:color rgb="FFDDE2E7"/>
      </x:left>
      <x:right style="thin">
        <x:color rgb="FFDDE2E7"/>
      </x:right>
      <x:top style="thin">
        <x:color rgb="FFBBC3CD"/>
      </x:top>
      <x:bottom/>
      <x:diagonal/>
    </x:border>
    <x:border>
      <x:left style="thin">
        <x:color rgb="FFDDE2E7"/>
      </x:left>
      <x:right style="thin">
        <x:color rgb="FFDDE2E7"/>
      </x:right>
      <x:top style="thin">
        <x:color rgb="FFBBC3CD"/>
      </x:top>
      <x:bottom style="thin">
        <x:color rgb="FFBBC3CD"/>
      </x:bottom>
      <x:diagonal/>
    </x:border>
    <x:border>
      <x:left style="thin">
        <x:color rgb="FFBBC3CD"/>
      </x:left>
      <x:right style="thin">
        <x:color rgb="FFBBC3CD"/>
      </x:right>
      <x:top style="thin">
        <x:color rgb="FFBBC3CD"/>
      </x:top>
      <x:bottom/>
      <x:diagonal/>
    </x:border>
    <x:border>
      <x:left style="thin">
        <x:color rgb="FFBBC3CD"/>
      </x:left>
      <x:right style="thin">
        <x:color rgb="FFBBC3CD"/>
      </x:right>
      <x:top/>
      <x:bottom/>
      <x:diagonal/>
    </x:border>
    <x:border>
      <x:left style="thin">
        <x:color rgb="FFBBC3CD"/>
      </x:left>
      <x:right style="thin">
        <x:color rgb="FFBBC3CD"/>
      </x:right>
      <x:top/>
      <x:bottom style="thin">
        <x:color rgb="FFBBC3CD"/>
      </x:bottom>
      <x:diagonal/>
    </x:border>
    <x:border>
      <x:left style="thin">
        <x:color rgb="FFBBC3CD"/>
      </x:left>
      <x:right style="thin">
        <x:color rgb="FFBBC3CD"/>
      </x:right>
      <x:top style="thin">
        <x:color rgb="FFBBC3CD"/>
      </x:top>
      <x:bottom style="thin">
        <x:color rgb="FFBBC3CD"/>
      </x:bottom>
      <x:diagonal/>
    </x:border>
  </x:borders>
  <x:cellStyleXfs count="1">
    <x:xf numFmtId="0" fontId="0" fillId="0" borderId="0"/>
  </x:cellStyleXfs>
  <x:cellXfs count="314">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vertical="top"/>
    </x:xf>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vertical="top" wrapText="0"/>
    </x:xf>
    <x:xf numFmtId="0" fontId="2" fillId="0" borderId="0" xfId="0" applyNumberFormat="1" applyFont="1" applyFill="1" applyBorder="1" applyAlignment="1">
      <x:alignment vertical="top" wrapText="0"/>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1" xfId="0" applyNumberFormat="1" applyFont="1" applyFill="1" applyBorder="1" applyAlignment="1">
      <x:alignment horizontal="center" vertical="top" wrapText="1"/>
    </x:xf>
    <x:xf numFmtId="0" fontId="3" fillId="2" borderId="2" xfId="0" applyNumberFormat="1" applyFont="1" applyFill="1" applyBorder="1" applyAlignment="1">
      <x:alignment horizontal="center" vertical="top" wrapText="1"/>
    </x:xf>
    <x:xf numFmtId="0" fontId="3" fillId="2" borderId="3" xfId="0" applyNumberFormat="1" applyFont="1" applyFill="1" applyBorder="1" applyAlignment="1">
      <x:alignment horizontal="center" vertical="top" wrapText="1"/>
    </x:xf>
    <x:xf numFmtId="0" fontId="3"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200" fontId="5" fillId="0" borderId="0" xfId="0" applyNumberFormat="1" applyFont="1" applyFill="1" applyBorder="1" applyAlignment="1">
      <x:alignment vertical="top" wrapText="1"/>
    </x:xf>
    <x:xf numFmtId="200" fontId="6" fillId="0" borderId="0" xfId="0" applyNumberFormat="1" applyFont="1" applyFill="1" applyBorder="1" applyAlignment="1">
      <x:alignment vertical="top" wrapText="1"/>
    </x:xf>
    <x:xf numFmtId="0" fontId="5" fillId="0" borderId="4" xfId="0" applyNumberFormat="1" applyFont="1" applyFill="1" applyBorder="1" applyAlignment="1">
      <x:alignment vertical="top" wrapText="1"/>
    </x:xf>
    <x:xf numFmtId="200" fontId="6" fillId="0" borderId="5"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7" fillId="0" borderId="0" xfId="0" applyNumberFormat="1" applyFont="1" applyFill="1" applyBorder="1"/>
    <x:xf numFmtId="201" fontId="7" fillId="0" borderId="0" xfId="0" applyNumberFormat="1" applyFont="1" applyFill="1" applyBorder="1"/>
    <x:xf numFmtId="202" fontId="0" fillId="0" borderId="0" xfId="0" applyNumberFormat="1" applyFont="1" applyFill="1" applyBorder="1"/>
    <x:xf numFmtId="0" fontId="8" fillId="0" borderId="0" xfId="0" applyNumberFormat="1" applyFont="1" applyFill="1" applyBorder="1"/>
    <x:xf numFmtId="0" fontId="9" fillId="0" borderId="0" xfId="0" applyNumberFormat="1" applyFont="1" applyFill="1" applyBorder="1"/>
    <x:xf numFmtId="201" fontId="8" fillId="0" borderId="0" xfId="0" applyNumberFormat="1" applyFont="1" applyFill="1" applyBorder="1"/>
    <x:xf numFmtId="201" fontId="9" fillId="0" borderId="0" xfId="0" applyNumberFormat="1" applyFont="1" applyFill="1" applyBorder="1"/>
    <x:xf numFmtId="0" fontId="10" fillId="0" borderId="0" xfId="0" applyNumberFormat="1" applyFont="1" applyFill="1" applyBorder="1"/>
    <x:xf numFmtId="0" fontId="11" fillId="0" borderId="0" xfId="0" applyNumberFormat="1" applyFont="1" applyFill="1" applyBorder="1"/>
    <x:xf numFmtId="0" fontId="12" fillId="0" borderId="0" xfId="0" applyNumberFormat="1" applyFont="1" applyFill="1" applyBorder="1"/>
    <x:xf numFmtId="0" fontId="13" fillId="0" borderId="0" xfId="0" applyNumberFormat="1" applyFont="1" applyFill="1" applyBorder="1"/>
    <x:xf numFmtId="0" fontId="2" fillId="0" borderId="0" xfId="0" applyNumberFormat="1" applyFont="1" applyFill="1" applyBorder="1" applyAlignment="1">
      <x:alignment vertical="center"/>
    </x:xf>
    <x:xf numFmtId="0" fontId="12" fillId="0" borderId="0" xfId="0" applyNumberFormat="1" applyFont="1" applyFill="1" applyBorder="1" applyAlignment="1">
      <x:alignment vertical="center"/>
    </x:xf>
    <x:xf numFmtId="0" fontId="13" fillId="0" borderId="0" xfId="0" applyNumberFormat="1" applyFont="1" applyFill="1" applyBorder="1" applyAlignment="1">
      <x:alignment vertical="center"/>
    </x:xf>
    <x:xf numFmtId="0" fontId="2" fillId="0" borderId="0" xfId="0" applyNumberFormat="1" applyFont="1" applyFill="1" applyBorder="1" applyAlignment="1">
      <x:alignment vertical="center" wrapText="0"/>
    </x:xf>
    <x:xf numFmtId="0" fontId="12" fillId="0" borderId="0" xfId="0" applyNumberFormat="1" applyFont="1" applyFill="1" applyBorder="1" applyAlignment="1">
      <x:alignment vertical="center" wrapText="0"/>
    </x:xf>
    <x:xf numFmtId="0" fontId="13" fillId="0" borderId="0" xfId="0" applyNumberFormat="1" applyFont="1" applyFill="1" applyBorder="1" applyAlignment="1">
      <x:alignment vertical="center" wrapText="0"/>
    </x:xf>
    <x:xf numFmtId="202" fontId="1" fillId="0" borderId="0" xfId="0" applyNumberFormat="1" applyFont="1" applyFill="1" applyBorder="1"/>
    <x:xf numFmtId="201" fontId="10" fillId="0" borderId="0" xfId="0" applyNumberFormat="1" applyFont="1" applyFill="1" applyBorder="1"/>
    <x:xf numFmtId="201" fontId="11" fillId="0" borderId="0" xfId="0" applyNumberFormat="1" applyFont="1" applyFill="1" applyBorder="1"/>
    <x:xf numFmtId="202" fontId="2" fillId="0" borderId="0" xfId="0" applyNumberFormat="1" applyFont="1" applyFill="1" applyBorder="1"/>
    <x:xf numFmtId="201" fontId="12" fillId="0" borderId="0" xfId="0" applyNumberFormat="1" applyFont="1" applyFill="1" applyBorder="1"/>
    <x:xf numFmtId="201" fontId="13" fillId="0" borderId="0" xfId="0" applyNumberFormat="1" applyFont="1" applyFill="1" applyBorder="1"/>
    <x:xf numFmtId="202" fontId="2" fillId="0" borderId="0" xfId="0" applyNumberFormat="1" applyFont="1" applyFill="1" applyBorder="1" applyAlignment="1">
      <x:alignment vertical="center"/>
    </x:xf>
    <x:xf numFmtId="201" fontId="12" fillId="0" borderId="0" xfId="0" applyNumberFormat="1" applyFont="1" applyFill="1" applyBorder="1" applyAlignment="1">
      <x:alignment vertical="center"/>
    </x:xf>
    <x:xf numFmtId="201" fontId="13" fillId="0" borderId="0" xfId="0" applyNumberFormat="1" applyFont="1" applyFill="1" applyBorder="1" applyAlignment="1">
      <x:alignment vertical="center"/>
    </x:xf>
    <x:xf numFmtId="202" fontId="2" fillId="0" borderId="0" xfId="0" applyNumberFormat="1" applyFont="1" applyFill="1" applyBorder="1" applyAlignment="1">
      <x:alignment vertical="center" wrapText="0"/>
    </x:xf>
    <x:xf numFmtId="201" fontId="12" fillId="0" borderId="0" xfId="0" applyNumberFormat="1" applyFont="1" applyFill="1" applyBorder="1" applyAlignment="1">
      <x:alignment vertical="center" wrapText="0"/>
    </x:xf>
    <x:xf numFmtId="201" fontId="13" fillId="0" borderId="0" xfId="0" applyNumberFormat="1" applyFont="1" applyFill="1" applyBorder="1" applyAlignment="1">
      <x:alignment vertical="center" wrapText="0"/>
    </x:xf>
    <x:xf numFmtId="201" fontId="14" fillId="0" borderId="0" xfId="0" applyNumberFormat="1" applyFont="1" applyFill="1" applyBorder="1"/>
    <x:xf numFmtId="201" fontId="15" fillId="0" borderId="0" xfId="0" applyNumberFormat="1" applyFont="1" applyFill="1" applyBorder="1"/>
    <x:xf numFmtId="201" fontId="15" fillId="0" borderId="0" xfId="0" applyNumberFormat="1" applyFont="1" applyFill="1" applyBorder="1" applyAlignment="1">
      <x:alignment vertical="center"/>
    </x:xf>
    <x:xf numFmtId="201" fontId="15" fillId="0" borderId="0" xfId="0" applyNumberFormat="1" applyFont="1" applyFill="1" applyBorder="1" applyAlignment="1">
      <x:alignment vertical="center" wrapText="0"/>
    </x:xf>
    <x:xf numFmtId="0" fontId="3" fillId="0" borderId="0" xfId="0" applyNumberFormat="1" applyFont="1" applyFill="1" applyBorder="1" applyAlignment="1">
      <x:alignment vertical="center" wrapText="0"/>
    </x:xf>
    <x:xf numFmtId="0" fontId="4" fillId="0" borderId="0" xfId="0" applyNumberFormat="1" applyFont="1" applyFill="1" applyBorder="1" applyAlignment="1">
      <x:alignment vertical="center" wrapText="0"/>
    </x:xf>
    <x:xf numFmtId="0" fontId="5" fillId="0" borderId="0" xfId="0" applyNumberFormat="1" applyFont="1" applyFill="1" applyBorder="1" applyAlignment="1">
      <x:alignment vertical="center" wrapText="0"/>
    </x:xf>
    <x:xf numFmtId="201" fontId="2" fillId="0" borderId="0" xfId="0" applyNumberFormat="1" applyFont="1" applyFill="1" applyBorder="1" applyAlignment="1">
      <x:alignment vertical="center" wrapText="0"/>
    </x:xf>
    <x:xf numFmtId="0" fontId="16" fillId="0" borderId="0" xfId="0" applyNumberFormat="1" applyFont="1" applyFill="1" applyBorder="1"/>
    <x:xf numFmtId="0" fontId="3" fillId="0" borderId="8" xfId="0" applyNumberFormat="1" applyFont="1" applyFill="1" applyBorder="1" applyAlignment="1">
      <x:alignment vertical="center" wrapText="0"/>
    </x:xf>
    <x:xf numFmtId="0" fontId="16" fillId="0" borderId="8" xfId="0" applyNumberFormat="1" applyFont="1" applyFill="1" applyBorder="1"/>
    <x:xf numFmtId="201" fontId="0" fillId="0" borderId="0" xfId="0" applyNumberFormat="1" applyFont="1" applyFill="1" applyBorder="1"/>
    <x:xf numFmtId="0" fontId="2" fillId="0" borderId="0" xfId="0" applyNumberFormat="1" applyFont="1" applyFill="1" applyBorder="1" applyAlignment="1">
      <x:alignment vertical="center" wrapText="1"/>
    </x:xf>
    <x:xf numFmtId="201" fontId="17" fillId="0" borderId="0" xfId="0" applyNumberFormat="1" applyFont="1" applyFill="1" applyBorder="1" applyAlignment="1">
      <x:alignment vertical="center" wrapText="0"/>
    </x:xf>
    <x:xf numFmtId="203" fontId="13" fillId="0" borderId="0" xfId="0" applyNumberFormat="1" applyFont="1" applyFill="1" applyBorder="1" applyAlignment="1">
      <x:alignment vertical="center" wrapText="0"/>
    </x:xf>
    <x:xf numFmtId="201" fontId="12" fillId="0" borderId="0" xfId="0" applyNumberFormat="1" applyFont="1" applyFill="1" applyBorder="1" applyAlignment="1">
      <x:alignment vertical="center" wrapText="1"/>
    </x:xf>
    <x:xf numFmtId="201" fontId="2" fillId="0" borderId="0" xfId="0" applyNumberFormat="1" applyFont="1" applyFill="1" applyBorder="1" applyAlignment="1">
      <x:alignment vertical="center" wrapText="1"/>
    </x:xf>
    <x:xf numFmtId="201" fontId="15" fillId="0" borderId="0" xfId="0" applyNumberFormat="1" applyFont="1" applyFill="1" applyBorder="1" applyAlignment="1">
      <x:alignment vertical="center" wrapText="1"/>
    </x:xf>
    <x:xf numFmtId="202" fontId="2" fillId="0" borderId="0"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3" fillId="0" borderId="9" xfId="0" applyNumberFormat="1" applyFont="1" applyFill="1" applyBorder="1" applyAlignment="1">
      <x:alignment vertical="center" wrapText="0"/>
    </x:xf>
    <x:xf numFmtId="0" fontId="3" fillId="0" borderId="10" xfId="0" applyNumberFormat="1" applyFont="1" applyFill="1" applyBorder="1" applyAlignment="1">
      <x:alignment vertical="center" wrapText="0"/>
    </x:xf>
    <x:xf numFmtId="0" fontId="2" fillId="0" borderId="4" xfId="0" applyNumberFormat="1" applyFont="1" applyFill="1" applyBorder="1" applyAlignment="1">
      <x:alignment vertical="center" wrapText="0"/>
    </x:xf>
    <x:xf numFmtId="201" fontId="12" fillId="0" borderId="5" xfId="0" applyNumberFormat="1" applyFont="1" applyFill="1" applyBorder="1" applyAlignment="1">
      <x:alignment vertical="center" wrapText="0"/>
    </x:xf>
    <x:xf numFmtId="0" fontId="3" fillId="0" borderId="6" xfId="0" applyNumberFormat="1" applyFont="1" applyFill="1" applyBorder="1" applyAlignment="1">
      <x:alignment vertical="center" wrapText="0"/>
    </x:xf>
    <x:xf numFmtId="201" fontId="17" fillId="0" borderId="7" xfId="0" applyNumberFormat="1" applyFont="1" applyFill="1" applyBorder="1" applyAlignment="1">
      <x:alignment vertical="center" wrapText="0"/>
    </x:xf>
    <x:xf numFmtId="0" fontId="2" fillId="0" borderId="11" xfId="0" applyNumberFormat="1" applyFont="1" applyFill="1" applyBorder="1" applyAlignment="1">
      <x:alignment vertical="center" wrapText="0"/>
    </x:xf>
    <x:xf numFmtId="201" fontId="12" fillId="0" borderId="12" xfId="0" applyNumberFormat="1" applyFont="1" applyFill="1" applyBorder="1" applyAlignment="1">
      <x:alignment vertical="center" wrapText="0"/>
    </x:xf>
    <x:xf numFmtId="0" fontId="3" fillId="0" borderId="4" xfId="0" applyNumberFormat="1" applyFont="1" applyFill="1" applyBorder="1" applyAlignment="1">
      <x:alignment vertical="center" wrapText="0"/>
    </x:xf>
    <x:xf numFmtId="201" fontId="17" fillId="0" borderId="5" xfId="0" applyNumberFormat="1" applyFont="1" applyFill="1" applyBorder="1" applyAlignment="1">
      <x:alignment vertical="center" wrapText="0"/>
    </x:xf>
    <x:xf numFmtId="201" fontId="13" fillId="0" borderId="5" xfId="0" applyNumberFormat="1" applyFont="1" applyFill="1" applyBorder="1" applyAlignment="1">
      <x:alignment vertical="center" wrapText="0"/>
    </x:xf>
    <x:xf numFmtId="203" fontId="13" fillId="0" borderId="5" xfId="0" applyNumberFormat="1" applyFont="1" applyFill="1" applyBorder="1" applyAlignment="1">
      <x:alignment vertical="center" wrapText="0"/>
    </x:xf>
    <x:xf numFmtId="0" fontId="2" fillId="0" borderId="6" xfId="0" applyNumberFormat="1" applyFont="1" applyFill="1" applyBorder="1" applyAlignment="1">
      <x:alignment vertical="center" wrapText="0"/>
    </x:xf>
    <x:xf numFmtId="203" fontId="13" fillId="0" borderId="7" xfId="0" applyNumberFormat="1" applyFont="1" applyFill="1" applyBorder="1" applyAlignment="1">
      <x:alignment vertical="center" wrapText="0"/>
    </x:xf>
    <x:xf numFmtId="0" fontId="3" fillId="0" borderId="11" xfId="0" applyNumberFormat="1" applyFont="1" applyFill="1" applyBorder="1" applyAlignment="1">
      <x:alignment vertical="center" wrapText="0"/>
    </x:xf>
    <x:xf numFmtId="201" fontId="17" fillId="0" borderId="12" xfId="0" applyNumberFormat="1" applyFont="1" applyFill="1" applyBorder="1" applyAlignment="1">
      <x:alignment vertical="center" wrapText="0"/>
    </x:xf>
    <x:xf numFmtId="0" fontId="3" fillId="0" borderId="13" xfId="0" applyNumberFormat="1" applyFont="1" applyFill="1" applyBorder="1" applyAlignment="1">
      <x:alignment vertical="center" wrapText="0"/>
    </x:xf>
    <x:xf numFmtId="0" fontId="2" fillId="0" borderId="4" xfId="0" applyNumberFormat="1" applyFont="1" applyFill="1" applyBorder="1" applyAlignment="1">
      <x:alignment vertical="center" wrapText="1"/>
    </x:xf>
    <x:xf numFmtId="202" fontId="2" fillId="0" borderId="14" xfId="0" applyNumberFormat="1" applyFont="1" applyFill="1" applyBorder="1" applyAlignment="1">
      <x:alignment vertical="center" wrapText="0"/>
    </x:xf>
    <x:xf numFmtId="201" fontId="12" fillId="0" borderId="14" xfId="0" applyNumberFormat="1" applyFont="1" applyFill="1" applyBorder="1" applyAlignment="1">
      <x:alignment vertical="center" wrapText="0"/>
    </x:xf>
    <x:xf numFmtId="0" fontId="2" fillId="0" borderId="5" xfId="0" applyNumberFormat="1" applyFont="1" applyFill="1" applyBorder="1" applyAlignment="1">
      <x:alignment vertical="center" wrapText="1"/>
    </x:xf>
    <x:xf numFmtId="0" fontId="2" fillId="0" borderId="6" xfId="0" applyNumberFormat="1" applyFont="1" applyFill="1" applyBorder="1" applyAlignment="1">
      <x:alignment vertical="center" wrapText="1"/>
    </x:xf>
    <x:xf numFmtId="202" fontId="2" fillId="0" borderId="15" xfId="0" applyNumberFormat="1" applyFont="1" applyFill="1" applyBorder="1" applyAlignment="1">
      <x:alignment vertical="center" wrapText="0"/>
    </x:xf>
    <x:xf numFmtId="201" fontId="12" fillId="0" borderId="15" xfId="0" applyNumberFormat="1" applyFont="1" applyFill="1" applyBorder="1" applyAlignment="1">
      <x:alignment vertical="center" wrapText="0"/>
    </x:xf>
    <x:xf numFmtId="0" fontId="2" fillId="0" borderId="7" xfId="0" applyNumberFormat="1" applyFont="1" applyFill="1" applyBorder="1" applyAlignment="1">
      <x:alignment vertical="center" wrapText="1"/>
    </x:xf>
    <x:xf numFmtId="0" fontId="2" fillId="0" borderId="2" xfId="0" applyNumberFormat="1" applyFont="1" applyFill="1" applyBorder="1" applyAlignment="1">
      <x:alignment vertical="center" wrapText="0"/>
    </x:xf>
    <x:xf numFmtId="201" fontId="12" fillId="0" borderId="3" xfId="0" applyNumberFormat="1" applyFont="1" applyFill="1" applyBorder="1" applyAlignment="1">
      <x:alignment vertical="center" wrapText="0"/>
    </x:xf>
    <x:xf numFmtId="201" fontId="2" fillId="0" borderId="16" xfId="0" applyNumberFormat="1" applyFont="1" applyFill="1" applyBorder="1" applyAlignment="1">
      <x:alignment vertical="center" wrapText="0"/>
    </x:xf>
    <x:xf numFmtId="0" fontId="2" fillId="0" borderId="12" xfId="0" applyNumberFormat="1" applyFont="1" applyFill="1" applyBorder="1" applyAlignment="1">
      <x:alignment vertical="center" wrapText="0"/>
    </x:xf>
    <x:xf numFmtId="201" fontId="13" fillId="0" borderId="14" xfId="0" applyNumberFormat="1" applyFont="1" applyFill="1" applyBorder="1" applyAlignment="1">
      <x:alignment vertical="center" wrapText="0"/>
    </x:xf>
    <x:xf numFmtId="0" fontId="2" fillId="0" borderId="5" xfId="0" applyNumberFormat="1" applyFont="1" applyFill="1" applyBorder="1" applyAlignment="1">
      <x:alignment vertical="center" wrapText="0"/>
    </x:xf>
    <x:xf numFmtId="203" fontId="13" fillId="0" borderId="15" xfId="0" applyNumberFormat="1" applyFont="1" applyFill="1" applyBorder="1" applyAlignment="1">
      <x:alignment vertical="center" wrapText="0"/>
    </x:xf>
    <x:xf numFmtId="0" fontId="2" fillId="0" borderId="7" xfId="0" applyNumberFormat="1" applyFont="1" applyFill="1" applyBorder="1" applyAlignment="1">
      <x:alignment vertical="center" wrapText="0"/>
    </x:xf>
    <x:xf numFmtId="201" fontId="13" fillId="0" borderId="7" xfId="0" applyNumberFormat="1" applyFont="1" applyFill="1" applyBorder="1" applyAlignment="1">
      <x:alignment vertical="center" wrapText="0"/>
    </x:xf>
    <x:xf numFmtId="201" fontId="12" fillId="0" borderId="14" xfId="0" applyNumberFormat="1" applyFont="1" applyFill="1" applyBorder="1" applyAlignment="1">
      <x:alignment vertical="center" wrapText="1"/>
    </x:xf>
    <x:xf numFmtId="0" fontId="2" fillId="0" borderId="14" xfId="0" applyNumberFormat="1" applyFont="1" applyFill="1" applyBorder="1" applyAlignment="1">
      <x:alignment vertical="center" wrapText="1"/>
    </x:xf>
    <x:xf numFmtId="201" fontId="2" fillId="0" borderId="14" xfId="0" applyNumberFormat="1" applyFont="1" applyFill="1" applyBorder="1" applyAlignment="1">
      <x:alignment vertical="center" wrapText="1"/>
    </x:xf>
    <x:xf numFmtId="201" fontId="12" fillId="0" borderId="15" xfId="0" applyNumberFormat="1" applyFont="1" applyFill="1" applyBorder="1" applyAlignment="1">
      <x:alignment vertical="center" wrapText="1"/>
    </x:xf>
    <x:xf numFmtId="0" fontId="2" fillId="0" borderId="15" xfId="0" applyNumberFormat="1" applyFont="1" applyFill="1" applyBorder="1" applyAlignment="1">
      <x:alignment vertical="center" wrapText="1"/>
    </x:xf>
    <x:xf numFmtId="201" fontId="13" fillId="0" borderId="3" xfId="0" applyNumberFormat="1" applyFont="1" applyFill="1" applyBorder="1" applyAlignment="1">
      <x:alignment vertical="center" wrapText="0"/>
    </x:xf>
    <x:xf numFmtId="201" fontId="12" fillId="0" borderId="7" xfId="0" applyNumberFormat="1" applyFont="1" applyFill="1" applyBorder="1" applyAlignment="1">
      <x:alignment vertical="center" wrapText="0"/>
    </x:xf>
    <x:xf numFmtId="0" fontId="3" fillId="0" borderId="11" xfId="0" applyNumberFormat="1" applyFont="1" applyFill="1" applyBorder="1" applyAlignment="1">
      <x:alignment vertical="center" wrapText="1"/>
    </x:xf>
    <x:xf numFmtId="0" fontId="3" fillId="0" borderId="16" xfId="0" applyNumberFormat="1" applyFont="1" applyFill="1" applyBorder="1" applyAlignment="1">
      <x:alignment vertical="center" wrapText="1"/>
    </x:xf>
    <x:xf numFmtId="0" fontId="2" fillId="0" borderId="16" xfId="0" applyNumberFormat="1" applyFont="1" applyFill="1" applyBorder="1" applyAlignment="1">
      <x:alignment vertical="center" wrapText="1"/>
    </x:xf>
    <x:xf numFmtId="0" fontId="2" fillId="0" borderId="12" xfId="0" applyNumberFormat="1" applyFont="1" applyFill="1" applyBorder="1" applyAlignment="1">
      <x:alignment vertical="center" wrapText="1"/>
    </x:xf>
    <x:xf numFmtId="201" fontId="15" fillId="0" borderId="14" xfId="0" applyNumberFormat="1" applyFont="1" applyFill="1" applyBorder="1" applyAlignment="1">
      <x:alignment vertical="center" wrapText="1"/>
    </x:xf>
    <x:xf numFmtId="202" fontId="2" fillId="0" borderId="14" xfId="0" applyNumberFormat="1" applyFont="1" applyFill="1" applyBorder="1" applyAlignment="1">
      <x:alignment vertical="center" wrapText="1"/>
    </x:xf>
    <x:xf numFmtId="201" fontId="15" fillId="0" borderId="15" xfId="0" applyNumberFormat="1" applyFont="1" applyFill="1" applyBorder="1" applyAlignment="1">
      <x:alignment vertical="center" wrapText="1"/>
    </x:xf>
    <x:xf numFmtId="202" fontId="2" fillId="0" borderId="15" xfId="0" applyNumberFormat="1" applyFont="1" applyFill="1" applyBorder="1" applyAlignment="1">
      <x:alignment vertical="center" wrapText="1"/>
    </x:xf>
    <x:xf numFmtId="0" fontId="3" fillId="0" borderId="12" xfId="0" applyNumberFormat="1" applyFont="1" applyFill="1" applyBorder="1" applyAlignment="1">
      <x:alignment vertical="center" wrapText="1"/>
    </x:xf>
    <x:xf numFmtId="0" fontId="3" fillId="2" borderId="11" xfId="0" applyNumberFormat="1" applyFont="1" applyFill="1" applyBorder="1" applyAlignment="1">
      <x:alignment vertical="center" wrapText="1"/>
    </x:xf>
    <x:xf numFmtId="0" fontId="3" fillId="2" borderId="16" xfId="0" applyNumberFormat="1" applyFont="1" applyFill="1" applyBorder="1" applyAlignment="1">
      <x:alignment vertical="center" wrapText="1"/>
    </x:xf>
    <x:xf numFmtId="0" fontId="2" fillId="2" borderId="16" xfId="0" applyNumberFormat="1" applyFont="1" applyFill="1" applyBorder="1" applyAlignment="1">
      <x:alignment vertical="center" wrapText="1"/>
    </x:xf>
    <x:xf numFmtId="0" fontId="2" fillId="2" borderId="12" xfId="0" applyNumberFormat="1" applyFont="1" applyFill="1" applyBorder="1" applyAlignment="1">
      <x:alignment vertical="center" wrapText="1"/>
    </x:xf>
    <x:xf numFmtId="0" fontId="3" fillId="2" borderId="12" xfId="0" applyNumberFormat="1" applyFont="1" applyFill="1" applyBorder="1" applyAlignment="1">
      <x:alignment vertical="center" wrapText="1"/>
    </x:xf>
    <x:xf numFmtId="0" fontId="3" fillId="2" borderId="11" xfId="0" applyNumberFormat="1" applyFont="1" applyFill="1" applyBorder="1" applyAlignment="1">
      <x:alignment horizontal="center" vertical="center" wrapText="1"/>
    </x:xf>
    <x:xf numFmtId="0" fontId="3" fillId="2" borderId="16" xfId="0" applyNumberFormat="1" applyFont="1" applyFill="1" applyBorder="1" applyAlignment="1">
      <x:alignment horizontal="center" vertical="center" wrapText="1"/>
    </x:xf>
    <x:xf numFmtId="0" fontId="3" fillId="2" borderId="12" xfId="0" applyNumberFormat="1" applyFont="1" applyFill="1" applyBorder="1" applyAlignment="1">
      <x:alignment horizontal="center" vertical="center" wrapText="1"/>
    </x:xf>
    <x:xf numFmtId="0" fontId="3" fillId="2" borderId="2" xfId="0" applyNumberFormat="1" applyFont="1" applyFill="1" applyBorder="1" applyAlignment="1">
      <x:alignment horizontal="center" vertical="center" wrapText="1"/>
    </x:xf>
    <x:xf numFmtId="0" fontId="3" fillId="2" borderId="17"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2" fillId="0" borderId="16" xfId="0" applyNumberFormat="1" applyFont="1" applyFill="1" applyBorder="1" applyAlignment="1">
      <x:alignment vertical="center" wrapText="0"/>
    </x:xf>
    <x:xf numFmtId="0" fontId="12" fillId="0" borderId="14" xfId="0" applyNumberFormat="1" applyFont="1" applyFill="1" applyBorder="1" applyAlignment="1">
      <x:alignment vertical="center" wrapText="0"/>
    </x:xf>
    <x:xf numFmtId="0" fontId="12" fillId="0" borderId="5" xfId="0" applyNumberFormat="1" applyFont="1" applyFill="1" applyBorder="1" applyAlignment="1">
      <x:alignment vertical="center" wrapText="0"/>
    </x:xf>
    <x:xf numFmtId="0" fontId="13" fillId="0" borderId="14" xfId="0" applyNumberFormat="1" applyFont="1" applyFill="1" applyBorder="1" applyAlignment="1">
      <x:alignment vertical="center" wrapText="0"/>
    </x:xf>
    <x:xf numFmtId="0" fontId="13" fillId="0" borderId="5" xfId="0" applyNumberFormat="1" applyFont="1" applyFill="1" applyBorder="1" applyAlignment="1">
      <x:alignment vertical="center" wrapText="0"/>
    </x:xf>
    <x:xf numFmtId="0" fontId="13" fillId="0" borderId="15" xfId="0" applyNumberFormat="1" applyFont="1" applyFill="1" applyBorder="1" applyAlignment="1">
      <x:alignment vertical="center" wrapText="0"/>
    </x:xf>
    <x:xf numFmtId="0" fontId="13" fillId="0" borderId="7" xfId="0" applyNumberFormat="1" applyFont="1" applyFill="1" applyBorder="1" applyAlignment="1">
      <x:alignment vertical="center" wrapText="0"/>
    </x:xf>
    <x:xf numFmtId="0" fontId="13" fillId="0" borderId="12" xfId="0" applyNumberFormat="1" applyFont="1" applyFill="1" applyBorder="1" applyAlignment="1">
      <x:alignment vertical="center" wrapText="0"/>
    </x:xf>
    <x:xf numFmtId="0" fontId="2" fillId="0" borderId="15" xfId="0" applyNumberFormat="1" applyFont="1" applyFill="1" applyBorder="1" applyAlignment="1">
      <x:alignment vertical="center" wrapText="0"/>
    </x:xf>
    <x:xf numFmtId="0" fontId="2" fillId="0" borderId="11" xfId="0" applyNumberFormat="1" applyFont="1" applyFill="1" applyBorder="1" applyAlignment="1">
      <x:alignment vertical="center" wrapText="1"/>
    </x:xf>
    <x:xf numFmtId="0" fontId="12" fillId="0" borderId="14" xfId="0" applyNumberFormat="1" applyFont="1" applyFill="1" applyBorder="1" applyAlignment="1">
      <x:alignment vertical="center" wrapText="1"/>
    </x:xf>
    <x:xf numFmtId="0" fontId="12" fillId="0" borderId="5" xfId="0" applyNumberFormat="1" applyFont="1" applyFill="1" applyBorder="1" applyAlignment="1">
      <x:alignment vertical="center" wrapText="1"/>
    </x:xf>
    <x:xf numFmtId="0" fontId="13" fillId="0" borderId="14" xfId="0" applyNumberFormat="1" applyFont="1" applyFill="1" applyBorder="1" applyAlignment="1">
      <x:alignment vertical="center" wrapText="1"/>
    </x:xf>
    <x:xf numFmtId="0" fontId="13" fillId="0" borderId="5" xfId="0" applyNumberFormat="1" applyFont="1" applyFill="1" applyBorder="1" applyAlignment="1">
      <x:alignment vertical="center" wrapText="1"/>
    </x:xf>
    <x:xf numFmtId="0" fontId="13" fillId="0" borderId="15" xfId="0" applyNumberFormat="1" applyFont="1" applyFill="1" applyBorder="1" applyAlignment="1">
      <x:alignment vertical="center" wrapText="1"/>
    </x:xf>
    <x:xf numFmtId="0" fontId="13" fillId="0" borderId="7" xfId="0" applyNumberFormat="1" applyFont="1" applyFill="1" applyBorder="1" applyAlignment="1">
      <x:alignment vertical="center" wrapText="1"/>
    </x:xf>
    <x:xf numFmtId="201" fontId="12" fillId="0" borderId="5" xfId="0" applyNumberFormat="1" applyFont="1" applyFill="1" applyBorder="1" applyAlignment="1">
      <x:alignment vertical="center" wrapText="1"/>
    </x:xf>
    <x:xf numFmtId="201" fontId="13" fillId="0" borderId="14" xfId="0" applyNumberFormat="1" applyFont="1" applyFill="1" applyBorder="1" applyAlignment="1">
      <x:alignment vertical="center" wrapText="1"/>
    </x:xf>
    <x:xf numFmtId="201" fontId="13" fillId="0" borderId="5" xfId="0" applyNumberFormat="1" applyFont="1" applyFill="1" applyBorder="1" applyAlignment="1">
      <x:alignment vertical="center" wrapText="1"/>
    </x:xf>
    <x:xf numFmtId="201" fontId="13" fillId="0" borderId="12" xfId="0" applyNumberFormat="1" applyFont="1" applyFill="1" applyBorder="1" applyAlignment="1">
      <x:alignment vertical="center" wrapText="0"/>
    </x:xf>
    <x:xf numFmtId="203" fontId="13" fillId="0" borderId="15" xfId="0" applyNumberFormat="1" applyFont="1" applyFill="1" applyBorder="1" applyAlignment="1">
      <x:alignment vertical="center" wrapText="1"/>
    </x:xf>
    <x:xf numFmtId="203" fontId="13" fillId="0" borderId="7" xfId="0" applyNumberFormat="1" applyFont="1" applyFill="1" applyBorder="1" applyAlignment="1">
      <x:alignment vertical="center" wrapText="1"/>
    </x:xf>
    <x:xf numFmtId="203" fontId="13" fillId="0" borderId="5" xfId="0" applyNumberFormat="1" applyFont="1" applyFill="1" applyBorder="1" applyAlignment="1">
      <x:alignment vertical="center" wrapText="1"/>
    </x:xf>
    <x:xf numFmtId="200" fontId="13" fillId="0" borderId="7" xfId="0" applyNumberFormat="1" applyFont="1" applyFill="1" applyBorder="1" applyAlignment="1">
      <x:alignment vertical="center" wrapText="0"/>
    </x:xf>
    <x:xf numFmtId="0" fontId="5" fillId="0" borderId="6" xfId="0" applyNumberFormat="1" applyFont="1" applyFill="1" applyBorder="1" applyAlignment="1">
      <x:alignment vertical="center" wrapText="0"/>
    </x:xf>
    <x:xf numFmtId="200" fontId="18" fillId="0" borderId="7" xfId="0" applyNumberFormat="1" applyFont="1" applyFill="1" applyBorder="1" applyAlignment="1">
      <x:alignment vertical="center" wrapText="0"/>
    </x:xf>
    <x:xf numFmtId="0" fontId="2" fillId="2" borderId="11" xfId="0" applyNumberFormat="1" applyFont="1" applyFill="1" applyBorder="1" applyAlignment="1">
      <x:alignment vertical="center" wrapText="1"/>
    </x:xf>
    <x:xf numFmtId="0" fontId="3" fillId="0" borderId="4" xfId="0" applyNumberFormat="1" applyFont="1" applyFill="1" applyBorder="1" applyAlignment="1">
      <x:alignment vertical="center" wrapText="1"/>
    </x:xf>
    <x:xf numFmtId="201" fontId="19" fillId="0" borderId="14" xfId="0" applyNumberFormat="1" applyFont="1" applyFill="1" applyBorder="1" applyAlignment="1">
      <x:alignment vertical="center" wrapText="1"/>
    </x:xf>
    <x:xf numFmtId="201" fontId="19" fillId="0" borderId="5" xfId="0" applyNumberFormat="1" applyFont="1" applyFill="1" applyBorder="1" applyAlignment="1">
      <x:alignment vertical="center" wrapText="1"/>
    </x:xf>
    <x:xf numFmtId="201" fontId="19" fillId="0" borderId="16" xfId="0" applyNumberFormat="1" applyFont="1" applyFill="1" applyBorder="1" applyAlignment="1">
      <x:alignment vertical="center" wrapText="1"/>
    </x:xf>
    <x:xf numFmtId="201" fontId="19" fillId="0" borderId="12" xfId="0" applyNumberFormat="1" applyFont="1" applyFill="1" applyBorder="1" applyAlignment="1">
      <x:alignment vertical="center" wrapText="1"/>
    </x:xf>
    <x:xf numFmtId="201" fontId="17" fillId="0" borderId="14" xfId="0" applyNumberFormat="1" applyFont="1" applyFill="1" applyBorder="1" applyAlignment="1">
      <x:alignment vertical="center" wrapText="1"/>
    </x:xf>
    <x:xf numFmtId="201" fontId="17" fillId="0" borderId="5" xfId="0" applyNumberFormat="1" applyFont="1" applyFill="1" applyBorder="1" applyAlignment="1">
      <x:alignment vertical="center" wrapText="1"/>
    </x:xf>
    <x:xf numFmtId="201" fontId="17" fillId="0" borderId="16" xfId="0" applyNumberFormat="1" applyFont="1" applyFill="1" applyBorder="1" applyAlignment="1">
      <x:alignment vertical="center" wrapText="1"/>
    </x:xf>
    <x:xf numFmtId="201" fontId="17" fillId="0" borderId="12" xfId="0" applyNumberFormat="1" applyFont="1" applyFill="1" applyBorder="1" applyAlignment="1">
      <x:alignment vertical="center" wrapText="1"/>
    </x:xf>
    <x:xf numFmtId="0" fontId="3" fillId="0" borderId="6" xfId="0" applyNumberFormat="1" applyFont="1" applyFill="1" applyBorder="1" applyAlignment="1">
      <x:alignment vertical="center" wrapText="1"/>
    </x:xf>
    <x:xf numFmtId="203" fontId="17" fillId="0" borderId="15" xfId="0" applyNumberFormat="1" applyFont="1" applyFill="1" applyBorder="1" applyAlignment="1">
      <x:alignment vertical="center" wrapText="1"/>
    </x:xf>
    <x:xf numFmtId="203" fontId="17" fillId="0" borderId="7" xfId="0" applyNumberFormat="1" applyFont="1" applyFill="1" applyBorder="1" applyAlignment="1">
      <x:alignment vertical="center" wrapText="1"/>
    </x:xf>
    <x:xf numFmtId="0" fontId="3" fillId="0" borderId="2" xfId="0" applyNumberFormat="1" applyFont="1" applyFill="1" applyBorder="1" applyAlignment="1">
      <x:alignment vertical="center" wrapText="1"/>
    </x:xf>
    <x:xf numFmtId="203" fontId="17" fillId="0" borderId="17" xfId="0" applyNumberFormat="1" applyFont="1" applyFill="1" applyBorder="1" applyAlignment="1">
      <x:alignment vertical="center" wrapText="1"/>
    </x:xf>
    <x:xf numFmtId="203" fontId="17" fillId="0" borderId="3" xfId="0" applyNumberFormat="1" applyFont="1" applyFill="1" applyBorder="1" applyAlignment="1">
      <x:alignment vertical="center" wrapText="1"/>
    </x:xf>
    <x:xf numFmtId="203" fontId="17" fillId="0" borderId="5" xfId="0" applyNumberFormat="1" applyFont="1" applyFill="1" applyBorder="1" applyAlignment="1">
      <x:alignment vertical="center" wrapText="0"/>
    </x:xf>
    <x:xf numFmtId="203" fontId="17" fillId="0" borderId="12" xfId="0" applyNumberFormat="1" applyFont="1" applyFill="1" applyBorder="1" applyAlignment="1">
      <x:alignment vertical="center" wrapText="0"/>
    </x:xf>
    <x:xf numFmtId="0" fontId="20" fillId="0" borderId="6" xfId="0" applyNumberFormat="1" applyFont="1" applyFill="1" applyBorder="1" applyAlignment="1">
      <x:alignment vertical="center" wrapText="0"/>
    </x:xf>
    <x:xf numFmtId="200" fontId="21" fillId="0" borderId="7" xfId="0" applyNumberFormat="1" applyFont="1" applyFill="1" applyBorder="1" applyAlignment="1">
      <x:alignment vertical="center" wrapText="0"/>
    </x:xf>
    <x:xf numFmtId="0" fontId="20" fillId="0" borderId="2" xfId="0" applyNumberFormat="1" applyFont="1" applyFill="1" applyBorder="1" applyAlignment="1">
      <x:alignment vertical="center" wrapText="0"/>
    </x:xf>
    <x:xf numFmtId="200" fontId="21" fillId="0" borderId="3" xfId="0" applyNumberFormat="1" applyFont="1" applyFill="1" applyBorder="1" applyAlignment="1">
      <x:alignment vertical="center" wrapText="0"/>
    </x:xf>
    <x:xf numFmtId="0" fontId="3" fillId="2" borderId="9" xfId="0" applyNumberFormat="1" applyFont="1" applyFill="1" applyBorder="1" applyAlignment="1">
      <x:alignment vertical="center" wrapText="0"/>
    </x:xf>
    <x:xf numFmtId="0" fontId="3" fillId="2" borderId="10" xfId="0" applyNumberFormat="1" applyFont="1" applyFill="1" applyBorder="1" applyAlignment="1">
      <x:alignment vertical="center" wrapText="0"/>
    </x:xf>
    <x:xf numFmtId="0" fontId="3" fillId="2" borderId="9" xfId="0" applyNumberFormat="1" applyFont="1" applyFill="1" applyBorder="1" applyAlignment="1">
      <x:alignment horizontal="center" vertical="center" wrapText="0"/>
    </x:xf>
    <x:xf numFmtId="0" fontId="3" fillId="2" borderId="10" xfId="0" applyNumberFormat="1" applyFont="1" applyFill="1" applyBorder="1" applyAlignment="1">
      <x:alignment horizontal="center" vertical="center" wrapText="0"/>
    </x:xf>
    <x:xf numFmtId="0" fontId="3" fillId="2" borderId="2" xfId="0" applyNumberFormat="1" applyFont="1" applyFill="1" applyBorder="1" applyAlignment="1">
      <x:alignment horizontal="center" vertical="center" wrapText="0"/>
    </x:xf>
    <x:xf numFmtId="0" fontId="3" fillId="2" borderId="3" xfId="0" applyNumberFormat="1" applyFont="1" applyFill="1" applyBorder="1" applyAlignment="1">
      <x:alignment horizontal="center" vertical="center" wrapText="0"/>
    </x:xf>
    <x:xf numFmtId="0" fontId="3" fillId="2" borderId="13" xfId="0" applyNumberFormat="1" applyFont="1" applyFill="1" applyBorder="1" applyAlignment="1">
      <x:alignment vertical="center" wrapText="0"/>
    </x:xf>
    <x:xf numFmtId="0" fontId="3" fillId="2" borderId="13" xfId="0" applyNumberFormat="1" applyFont="1" applyFill="1" applyBorder="1" applyAlignment="1">
      <x:alignment horizontal="center" vertical="center" wrapText="0"/>
    </x:xf>
    <x:xf numFmtId="0" fontId="3" fillId="2" borderId="17" xfId="0" applyNumberFormat="1" applyFont="1" applyFill="1" applyBorder="1" applyAlignment="1">
      <x:alignment horizontal="center" vertical="center" wrapText="0"/>
    </x:xf>
    <x:xf numFmtId="0" fontId="2" fillId="2" borderId="11" xfId="0" applyNumberFormat="1" applyFont="1" applyFill="1" applyBorder="1" applyAlignment="1">
      <x:alignment vertical="center" wrapText="0"/>
    </x:xf>
    <x:xf numFmtId="201" fontId="2" fillId="2" borderId="16" xfId="0" applyNumberFormat="1" applyFont="1" applyFill="1" applyBorder="1" applyAlignment="1">
      <x:alignment vertical="center" wrapText="0"/>
    </x:xf>
    <x:xf numFmtId="0" fontId="2" fillId="2" borderId="12" xfId="0" applyNumberFormat="1" applyFont="1" applyFill="1" applyBorder="1" applyAlignment="1">
      <x:alignment vertical="center" wrapText="0"/>
    </x:xf>
    <x:xf numFmtId="0" fontId="3" fillId="2" borderId="11" xfId="0" applyNumberFormat="1" applyFont="1" applyFill="1" applyBorder="1" applyAlignment="1">
      <x:alignment vertical="center" wrapText="0"/>
    </x:xf>
    <x:xf numFmtId="201" fontId="3" fillId="2" borderId="16" xfId="0" applyNumberFormat="1" applyFont="1" applyFill="1" applyBorder="1" applyAlignment="1">
      <x:alignment vertical="center" wrapText="0"/>
    </x:xf>
    <x:xf numFmtId="0" fontId="3" fillId="2" borderId="12" xfId="0" applyNumberFormat="1" applyFont="1" applyFill="1" applyBorder="1" applyAlignment="1">
      <x:alignment vertical="center" wrapText="0"/>
    </x:xf>
    <x:xf numFmtId="0" fontId="3" fillId="2" borderId="11" xfId="0" applyNumberFormat="1" applyFont="1" applyFill="1" applyBorder="1" applyAlignment="1">
      <x:alignment horizontal="center" vertical="center" wrapText="0"/>
    </x:xf>
    <x:xf numFmtId="201" fontId="3" fillId="2" borderId="16" xfId="0" applyNumberFormat="1" applyFont="1" applyFill="1" applyBorder="1" applyAlignment="1">
      <x:alignment horizontal="center" vertical="center" wrapText="0"/>
    </x:xf>
    <x:xf numFmtId="0" fontId="3" fillId="2" borderId="12" xfId="0" applyNumberFormat="1" applyFont="1" applyFill="1" applyBorder="1" applyAlignment="1">
      <x:alignment horizontal="center" vertical="center" wrapText="0"/>
    </x:xf>
    <x:xf numFmtId="201" fontId="3" fillId="2" borderId="17" xfId="0" applyNumberFormat="1" applyFont="1" applyFill="1" applyBorder="1" applyAlignment="1">
      <x:alignment horizontal="center" vertical="center" wrapText="0"/>
    </x:xf>
    <x:xf numFmtId="0" fontId="3" fillId="0" borderId="2" xfId="0" applyNumberFormat="1" applyFont="1" applyFill="1" applyBorder="1" applyAlignment="1">
      <x:alignment vertical="center" wrapText="0"/>
    </x:xf>
    <x:xf numFmtId="201" fontId="17" fillId="0" borderId="3" xfId="0" applyNumberFormat="1" applyFont="1" applyFill="1" applyBorder="1" applyAlignment="1">
      <x:alignment vertical="center" wrapText="0"/>
    </x:xf>
    <x:xf numFmtId="201" fontId="17" fillId="0" borderId="14" xfId="0" applyNumberFormat="1" applyFont="1" applyFill="1" applyBorder="1" applyAlignment="1">
      <x:alignment vertical="center" wrapText="0"/>
    </x:xf>
    <x:xf numFmtId="201" fontId="17" fillId="0" borderId="16" xfId="0" applyNumberFormat="1" applyFont="1" applyFill="1" applyBorder="1" applyAlignment="1">
      <x:alignment vertical="center" wrapText="0"/>
    </x:xf>
    <x:xf numFmtId="0" fontId="2" fillId="0" borderId="0" xfId="0" applyNumberFormat="1" applyFont="1" applyFill="1" applyBorder="1" applyAlignment="1">
      <x:alignment wrapText="1"/>
    </x:xf>
    <x:xf numFmtId="0" fontId="2" fillId="0" borderId="11" xfId="0" applyNumberFormat="1" applyFont="1" applyFill="1" applyBorder="1" applyAlignment="1">
      <x:alignment vertical="top" wrapText="1"/>
    </x:xf>
    <x:xf numFmtId="0" fontId="2" fillId="0" borderId="16" xfId="0" applyNumberFormat="1" applyFont="1" applyFill="1" applyBorder="1" applyAlignment="1">
      <x:alignment vertical="top" wrapText="1"/>
    </x:xf>
    <x:xf numFmtId="0" fontId="2" fillId="0" borderId="12" xfId="0" applyNumberFormat="1" applyFont="1" applyFill="1" applyBorder="1" applyAlignment="1">
      <x:alignment vertical="top" wrapText="1"/>
    </x:xf>
    <x:xf numFmtId="0" fontId="2" fillId="0" borderId="14" xfId="0" applyNumberFormat="1" applyFont="1" applyFill="1" applyBorder="1" applyAlignment="1">
      <x:alignment vertical="top" wrapText="1"/>
    </x:xf>
    <x:xf numFmtId="0" fontId="2" fillId="0" borderId="15" xfId="0" applyNumberFormat="1" applyFont="1" applyFill="1" applyBorder="1" applyAlignment="1">
      <x:alignment vertical="top" wrapText="1"/>
    </x:xf>
    <x:xf numFmtId="0" fontId="2" fillId="0" borderId="18" xfId="0" applyNumberFormat="1" applyFont="1" applyFill="1" applyBorder="1" applyAlignment="1">
      <x:alignment vertical="top" wrapText="1"/>
    </x:xf>
    <x:xf numFmtId="0" fontId="2" fillId="0" borderId="19" xfId="0" applyNumberFormat="1" applyFont="1" applyFill="1" applyBorder="1" applyAlignment="1">
      <x:alignment vertical="top" wrapText="1"/>
    </x:xf>
    <x:xf numFmtId="0" fontId="2" fillId="0" borderId="20" xfId="0" applyNumberFormat="1" applyFont="1" applyFill="1" applyBorder="1" applyAlignment="1">
      <x:alignment vertical="top" wrapText="1"/>
    </x:xf>
    <x:xf numFmtId="0" fontId="2" fillId="2" borderId="11" xfId="0" applyNumberFormat="1" applyFont="1" applyFill="1" applyBorder="1" applyAlignment="1">
      <x:alignment vertical="top" wrapText="1"/>
    </x:xf>
    <x:xf numFmtId="0" fontId="2" fillId="2" borderId="16" xfId="0" applyNumberFormat="1" applyFont="1" applyFill="1" applyBorder="1" applyAlignment="1">
      <x:alignment vertical="top" wrapText="1"/>
    </x:xf>
    <x:xf numFmtId="0" fontId="2" fillId="2" borderId="12" xfId="0" applyNumberFormat="1" applyFont="1" applyFill="1" applyBorder="1" applyAlignment="1">
      <x:alignment vertical="top" wrapText="1"/>
    </x:xf>
    <x:xf numFmtId="0" fontId="3" fillId="2" borderId="11" xfId="0" applyNumberFormat="1" applyFont="1" applyFill="1" applyBorder="1" applyAlignment="1">
      <x:alignment vertical="top" wrapText="1"/>
    </x:xf>
    <x:xf numFmtId="0" fontId="3" fillId="2" borderId="16" xfId="0" applyNumberFormat="1" applyFont="1" applyFill="1" applyBorder="1" applyAlignment="1">
      <x:alignment vertical="top" wrapText="1"/>
    </x:xf>
    <x:xf numFmtId="0" fontId="3" fillId="2" borderId="12" xfId="0" applyNumberFormat="1" applyFont="1" applyFill="1" applyBorder="1" applyAlignment="1">
      <x:alignment vertical="top" wrapText="1"/>
    </x:xf>
    <x:xf numFmtId="0" fontId="3" fillId="2" borderId="11" xfId="0" applyNumberFormat="1" applyFont="1" applyFill="1" applyBorder="1" applyAlignment="1">
      <x:alignment horizontal="center" vertical="top" wrapText="1"/>
    </x:xf>
    <x:xf numFmtId="0" fontId="3" fillId="2" borderId="16" xfId="0" applyNumberFormat="1" applyFont="1" applyFill="1" applyBorder="1" applyAlignment="1">
      <x:alignment horizontal="center" vertical="top" wrapText="1"/>
    </x:xf>
    <x:xf numFmtId="0" fontId="3" fillId="2" borderId="12" xfId="0" applyNumberFormat="1" applyFont="1" applyFill="1" applyBorder="1" applyAlignment="1">
      <x:alignment horizontal="center" vertical="top" wrapText="1"/>
    </x:xf>
    <x:xf numFmtId="0" fontId="3" fillId="2" borderId="17" xfId="0" applyNumberFormat="1" applyFont="1" applyFill="1" applyBorder="1" applyAlignment="1">
      <x:alignment horizontal="center" vertical="top" wrapText="1"/>
    </x:xf>
    <x:xf numFmtId="0" fontId="2" fillId="2" borderId="18" xfId="0" applyNumberFormat="1" applyFont="1" applyFill="1" applyBorder="1" applyAlignment="1">
      <x:alignment vertical="top" wrapText="1"/>
    </x:xf>
    <x:xf numFmtId="0" fontId="3" fillId="2" borderId="18" xfId="0" applyNumberFormat="1" applyFont="1" applyFill="1" applyBorder="1" applyAlignment="1">
      <x:alignment vertical="top" wrapText="1"/>
    </x:xf>
    <x:xf numFmtId="0" fontId="3" fillId="2" borderId="18" xfId="0" applyNumberFormat="1" applyFont="1" applyFill="1" applyBorder="1" applyAlignment="1">
      <x:alignment horizontal="center" vertical="top" wrapText="1"/>
    </x:xf>
    <x:xf numFmtId="0" fontId="3" fillId="2" borderId="21" xfId="0" applyNumberFormat="1" applyFont="1" applyFill="1" applyBorder="1" applyAlignment="1">
      <x:alignment horizontal="center" vertical="top" wrapText="1"/>
    </x:xf>
    <x:xf numFmtId="201" fontId="2" fillId="0" borderId="0" xfId="0" applyNumberFormat="1" applyFont="1" applyFill="1" applyBorder="1" applyAlignment="1">
      <x:alignment vertical="top" wrapText="1"/>
    </x:xf>
    <x:xf numFmtId="201" fontId="15" fillId="0" borderId="0" xfId="0" applyNumberFormat="1" applyFont="1" applyFill="1" applyBorder="1" applyAlignment="1">
      <x:alignment vertical="top" wrapText="1"/>
    </x:xf>
    <x:xf numFmtId="202" fontId="2" fillId="0" borderId="0" xfId="0" applyNumberFormat="1" applyFont="1" applyFill="1" applyBorder="1" applyAlignment="1">
      <x:alignment vertical="top" wrapText="1"/>
    </x:xf>
    <x:xf numFmtId="201" fontId="15" fillId="0" borderId="14" xfId="0" applyNumberFormat="1" applyFont="1" applyFill="1" applyBorder="1" applyAlignment="1">
      <x:alignment vertical="top" wrapText="1"/>
    </x:xf>
    <x:xf numFmtId="202" fontId="2" fillId="0" borderId="14" xfId="0" applyNumberFormat="1" applyFont="1" applyFill="1" applyBorder="1" applyAlignment="1">
      <x:alignment vertical="top" wrapText="1"/>
    </x:xf>
    <x:xf numFmtId="201" fontId="15" fillId="0" borderId="15" xfId="0" applyNumberFormat="1" applyFont="1" applyFill="1" applyBorder="1" applyAlignment="1">
      <x:alignment vertical="top" wrapText="1"/>
    </x:xf>
    <x:xf numFmtId="202" fontId="2" fillId="0" borderId="15" xfId="0" applyNumberFormat="1" applyFont="1" applyFill="1" applyBorder="1" applyAlignment="1">
      <x:alignment vertical="top" wrapText="1"/>
    </x:xf>
    <x:xf numFmtId="201" fontId="12" fillId="0" borderId="0" xfId="0" applyNumberFormat="1" applyFont="1" applyFill="1" applyBorder="1" applyAlignment="1">
      <x:alignment vertical="top" wrapText="1"/>
    </x:xf>
    <x:xf numFmtId="201" fontId="13" fillId="0" borderId="0" xfId="0" applyNumberFormat="1" applyFont="1" applyFill="1" applyBorder="1" applyAlignment="1">
      <x:alignment vertical="top" wrapText="1"/>
    </x:xf>
    <x:xf numFmtId="201" fontId="2" fillId="2" borderId="0" xfId="0" applyNumberFormat="1" applyFont="1" applyFill="1" applyBorder="1" applyAlignment="1">
      <x:alignment vertical="top" wrapText="1"/>
    </x:xf>
    <x:xf numFmtId="202" fontId="2" fillId="2" borderId="0" xfId="0" applyNumberFormat="1" applyFont="1" applyFill="1" applyBorder="1" applyAlignment="1">
      <x:alignment vertical="top" wrapText="1"/>
    </x:xf>
    <x:xf numFmtId="201" fontId="3" fillId="2" borderId="0" xfId="0" applyNumberFormat="1" applyFont="1" applyFill="1" applyBorder="1" applyAlignment="1">
      <x:alignment vertical="top" wrapText="1"/>
    </x:xf>
    <x:xf numFmtId="202" fontId="3" fillId="2" borderId="0" xfId="0" applyNumberFormat="1" applyFont="1" applyFill="1" applyBorder="1" applyAlignment="1">
      <x:alignment vertical="top" wrapText="1"/>
    </x:xf>
    <x:xf numFmtId="201" fontId="3" fillId="2" borderId="0" xfId="0" applyNumberFormat="1" applyFont="1" applyFill="1" applyBorder="1" applyAlignment="1">
      <x:alignment horizontal="center" vertical="top" wrapText="1"/>
    </x:xf>
    <x:xf numFmtId="202" fontId="3" fillId="2" borderId="0" xfId="0" applyNumberFormat="1" applyFont="1" applyFill="1" applyBorder="1" applyAlignment="1">
      <x:alignment horizontal="center" vertical="top" wrapText="1"/>
    </x:xf>
    <x:xf numFmtId="201" fontId="3" fillId="2" borderId="1" xfId="0" applyNumberFormat="1" applyFont="1" applyFill="1" applyBorder="1" applyAlignment="1">
      <x:alignment horizontal="center" vertical="top" wrapText="1"/>
    </x:xf>
    <x:xf numFmtId="202" fontId="3" fillId="2" borderId="1" xfId="0" applyNumberFormat="1" applyFont="1" applyFill="1" applyBorder="1" applyAlignment="1">
      <x:alignment horizontal="center" vertical="top" wrapText="1"/>
    </x:xf>
    <x:xf numFmtId="201" fontId="12" fillId="0" borderId="14" xfId="0" applyNumberFormat="1" applyFont="1" applyFill="1" applyBorder="1" applyAlignment="1">
      <x:alignment vertical="top" wrapText="1"/>
    </x:xf>
    <x:xf numFmtId="201" fontId="13" fillId="0" borderId="15" xfId="0" applyNumberFormat="1" applyFont="1" applyFill="1" applyBorder="1" applyAlignment="1">
      <x:alignment vertical="top" wrapText="1"/>
    </x:xf>
    <x:xf numFmtId="201" fontId="3" fillId="2" borderId="17" xfId="0" applyNumberFormat="1" applyFont="1" applyFill="1" applyBorder="1" applyAlignment="1">
      <x:alignment horizontal="center" vertical="top" wrapText="1"/>
    </x:xf>
    <x:xf numFmtId="202" fontId="3" fillId="2" borderId="17" xfId="0" applyNumberFormat="1" applyFont="1" applyFill="1" applyBorder="1" applyAlignment="1">
      <x:alignment horizontal="center" vertical="top" wrapText="1"/>
    </x:xf>
    <x:xf numFmtId="201" fontId="2" fillId="0" borderId="14" xfId="0" applyNumberFormat="1" applyFont="1" applyFill="1" applyBorder="1" applyAlignment="1">
      <x:alignment vertical="top" wrapText="1"/>
    </x:xf>
    <x:xf numFmtId="201" fontId="13" fillId="0" borderId="14" xfId="0" applyNumberFormat="1" applyFont="1" applyFill="1" applyBorder="1" applyAlignment="1">
      <x:alignment vertical="top" wrapText="1"/>
    </x:xf>
    <x:xf numFmtId="0" fontId="2" fillId="0" borderId="2" xfId="0" applyNumberFormat="1" applyFont="1" applyFill="1" applyBorder="1" applyAlignment="1">
      <x:alignment vertical="top" wrapText="1"/>
    </x:xf>
    <x:xf numFmtId="201" fontId="2" fillId="0" borderId="17" xfId="0" applyNumberFormat="1" applyFont="1" applyFill="1" applyBorder="1" applyAlignment="1">
      <x:alignment vertical="top" wrapText="1"/>
    </x:xf>
    <x:xf numFmtId="202" fontId="2" fillId="0" borderId="17" xfId="0" applyNumberFormat="1" applyFont="1" applyFill="1" applyBorder="1" applyAlignment="1">
      <x:alignment vertical="top" wrapText="1"/>
    </x:xf>
    <x:xf numFmtId="0" fontId="2" fillId="0" borderId="17" xfId="0" applyNumberFormat="1" applyFont="1" applyFill="1" applyBorder="1" applyAlignment="1">
      <x:alignment vertical="top" wrapText="1"/>
    </x:xf>
    <x:xf numFmtId="0" fontId="2" fillId="0" borderId="3" xfId="0" applyNumberFormat="1" applyFont="1" applyFill="1" applyBorder="1" applyAlignment="1">
      <x:alignment vertical="top" wrapText="1"/>
    </x:xf>
    <x:xf numFmtId="201" fontId="17" fillId="0" borderId="15" xfId="0" applyNumberFormat="1" applyFont="1" applyFill="1" applyBorder="1" applyAlignment="1">
      <x:alignment vertical="top" wrapText="1"/>
    </x:xf>
    <x:xf numFmtId="202" fontId="3" fillId="0" borderId="15" xfId="0" applyNumberFormat="1" applyFont="1" applyFill="1" applyBorder="1" applyAlignment="1">
      <x:alignment vertical="top" wrapText="1"/>
    </x:xf>
    <x:xf numFmtId="0" fontId="3" fillId="0" borderId="15" xfId="0" applyNumberFormat="1" applyFont="1" applyFill="1" applyBorder="1" applyAlignment="1">
      <x:alignment vertical="top" wrapText="1"/>
    </x:xf>
    <x:xf numFmtId="0" fontId="3" fillId="0" borderId="7" xfId="0" applyNumberFormat="1" applyFont="1" applyFill="1" applyBorder="1" applyAlignment="1">
      <x:alignment vertical="top" wrapText="1"/>
    </x:xf>
    <x:xf numFmtId="0" fontId="3" fillId="0" borderId="2" xfId="0" applyNumberFormat="1" applyFont="1" applyFill="1" applyBorder="1" applyAlignment="1">
      <x:alignment vertical="top" wrapText="1"/>
    </x:xf>
    <x:xf numFmtId="201" fontId="17" fillId="0" borderId="17" xfId="0" applyNumberFormat="1" applyFont="1" applyFill="1" applyBorder="1" applyAlignment="1">
      <x:alignment vertical="top" wrapText="1"/>
    </x:xf>
    <x:xf numFmtId="202" fontId="3" fillId="0" borderId="17" xfId="0" applyNumberFormat="1" applyFont="1" applyFill="1" applyBorder="1" applyAlignment="1">
      <x:alignment vertical="top" wrapText="1"/>
    </x:xf>
    <x:xf numFmtId="0" fontId="3" fillId="0" borderId="17" xfId="0" applyNumberFormat="1" applyFont="1" applyFill="1" applyBorder="1" applyAlignment="1">
      <x:alignment vertical="top" wrapText="1"/>
    </x:xf>
    <x:xf numFmtId="0" fontId="3" fillId="0" borderId="3" xfId="0" applyNumberFormat="1" applyFont="1" applyFill="1" applyBorder="1" applyAlignment="1">
      <x:alignment vertical="top" wrapText="1"/>
    </x:xf>
    <x:xf numFmtId="201" fontId="17" fillId="0" borderId="14" xfId="0" applyNumberFormat="1" applyFont="1" applyFill="1" applyBorder="1" applyAlignment="1">
      <x:alignment vertical="top" wrapText="1"/>
    </x:xf>
    <x:xf numFmtId="202" fontId="3" fillId="0" borderId="14" xfId="0" applyNumberFormat="1" applyFont="1" applyFill="1" applyBorder="1" applyAlignment="1">
      <x:alignment vertical="top" wrapText="1"/>
    </x:xf>
    <x:xf numFmtId="0" fontId="3" fillId="0" borderId="14"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11" xfId="0" applyNumberFormat="1" applyFont="1" applyFill="1" applyBorder="1" applyAlignment="1">
      <x:alignment vertical="top" wrapText="1"/>
    </x:xf>
    <x:xf numFmtId="201" fontId="17" fillId="0" borderId="16" xfId="0" applyNumberFormat="1" applyFont="1" applyFill="1" applyBorder="1" applyAlignment="1">
      <x:alignment vertical="top" wrapText="1"/>
    </x:xf>
    <x:xf numFmtId="202" fontId="3" fillId="0" borderId="16" xfId="0" applyNumberFormat="1" applyFont="1" applyFill="1" applyBorder="1" applyAlignment="1">
      <x:alignment vertical="top" wrapText="1"/>
    </x:xf>
    <x:xf numFmtId="0" fontId="3" fillId="0" borderId="16" xfId="0" applyNumberFormat="1" applyFont="1" applyFill="1" applyBorder="1" applyAlignment="1">
      <x:alignment vertical="top" wrapText="1"/>
    </x:xf>
    <x:xf numFmtId="0" fontId="3" fillId="0" borderId="12" xfId="0" applyNumberFormat="1" applyFont="1" applyFill="1" applyBorder="1" applyAlignment="1">
      <x:alignment vertical="top" wrapText="1"/>
    </x:xf>
    <x:xf numFmtId="0" fontId="0" fillId="0" borderId="0" xfId="0" applyNumberFormat="1" applyFont="1" applyFill="1" applyBorder="1" applyAlignment="1">
      <x:alignment wrapText="0"/>
    </x:xf>
    <x:xf numFmtId="0" fontId="16" fillId="0" borderId="0" xfId="0" applyNumberFormat="1" applyFont="1" applyFill="1" applyBorder="1" applyAlignment="1">
      <x:alignment wrapText="0"/>
    </x:xf>
    <x:xf numFmtId="0" fontId="22" fillId="0" borderId="0" xfId="0" applyNumberFormat="1" applyFont="1" applyFill="1" applyBorder="1" applyAlignment="1">
      <x:alignment wrapText="0"/>
    </x:xf>
    <x:xf numFmtId="200" fontId="0" fillId="0" borderId="0" xfId="0" applyNumberFormat="1" applyFont="1" applyFill="1" applyBorder="1"/>
    <x:xf numFmtId="200" fontId="8" fillId="0" borderId="0" xfId="0" applyNumberFormat="1" applyFont="1" applyFill="1" applyBorder="1"/>
    <x:xf numFmtId="204" fontId="0" fillId="0" borderId="0" xfId="0" applyNumberFormat="1" applyFont="1" applyFill="1" applyBorder="1"/>
    <x:xf numFmtId="204" fontId="9" fillId="0" borderId="0" xfId="0" applyNumberFormat="1" applyFont="1" applyFill="1" applyBorder="1"/>
    <x:xf numFmtId="200" fontId="10" fillId="0" borderId="0" xfId="0" applyNumberFormat="1" applyFont="1" applyFill="1" applyBorder="1"/>
    <x:xf numFmtId="204" fontId="11" fillId="0" borderId="0" xfId="0" applyNumberFormat="1" applyFont="1" applyFill="1" applyBorder="1"/>
    <x:xf numFmtId="200" fontId="12" fillId="0" borderId="0" xfId="0" applyNumberFormat="1" applyFont="1" applyFill="1" applyBorder="1"/>
    <x:xf numFmtId="204" fontId="13" fillId="0" borderId="0" xfId="0" applyNumberFormat="1" applyFont="1" applyFill="1" applyBorder="1"/>
    <x:xf numFmtId="201" fontId="12" fillId="0" borderId="0" xfId="0" applyNumberFormat="1" applyFont="1" applyFill="1" applyBorder="1" applyAlignment="1">
      <x:alignment wrapText="1"/>
    </x:xf>
    <x:xf numFmtId="201" fontId="13" fillId="0" borderId="0" xfId="0" applyNumberFormat="1" applyFont="1" applyFill="1" applyBorder="1" applyAlignment="1">
      <x:alignment wrapText="1"/>
    </x:xf>
    <x:xf numFmtId="200" fontId="12" fillId="0" borderId="0" xfId="0" applyNumberFormat="1" applyFont="1" applyFill="1" applyBorder="1" applyAlignment="1">
      <x:alignment wrapText="1"/>
    </x:xf>
    <x:xf numFmtId="204" fontId="13" fillId="0" borderId="0" xfId="0" applyNumberFormat="1" applyFont="1" applyFill="1" applyBorder="1" applyAlignment="1">
      <x:alignment wrapText="1"/>
    </x:xf>
    <x:xf numFmtId="200" fontId="12" fillId="0" borderId="0" xfId="0" applyNumberFormat="1" applyFont="1" applyFill="1" applyBorder="1" applyAlignment="1">
      <x:alignment vertical="top" wrapText="1"/>
    </x:xf>
    <x:xf numFmtId="204" fontId="13" fillId="0" borderId="0" xfId="0" applyNumberFormat="1" applyFont="1" applyFill="1" applyBorder="1" applyAlignment="1">
      <x:alignment vertical="top" wrapText="1"/>
    </x:xf>
    <x:xf numFmtId="200" fontId="12" fillId="0" borderId="14" xfId="0" applyNumberFormat="1" applyFont="1" applyFill="1" applyBorder="1" applyAlignment="1">
      <x:alignment vertical="top" wrapText="1"/>
    </x:xf>
    <x:xf numFmtId="204" fontId="13" fillId="0" borderId="14" xfId="0" applyNumberFormat="1" applyFont="1" applyFill="1" applyBorder="1" applyAlignment="1">
      <x:alignment vertical="top" wrapText="1"/>
    </x:xf>
    <x:xf numFmtId="200" fontId="12" fillId="0" borderId="15" xfId="0" applyNumberFormat="1" applyFont="1" applyFill="1" applyBorder="1" applyAlignment="1">
      <x:alignment vertical="top" wrapText="1"/>
    </x:xf>
    <x:xf numFmtId="201" fontId="19" fillId="0" borderId="14" xfId="0" applyNumberFormat="1" applyFont="1" applyFill="1" applyBorder="1" applyAlignment="1">
      <x:alignment vertical="top" wrapText="1"/>
    </x:xf>
    <x:xf numFmtId="201" fontId="19" fillId="0" borderId="16" xfId="0" applyNumberFormat="1" applyFont="1" applyFill="1" applyBorder="1" applyAlignment="1">
      <x:alignment vertical="top" wrapText="1"/>
    </x:xf>
    <x:xf numFmtId="0" fontId="23" fillId="0" borderId="5" xfId="0" applyNumberFormat="1" applyFont="1" applyFill="1" applyBorder="1" applyAlignment="1">
      <x:alignment vertical="top" wrapText="1"/>
    </x:xf>
    <x:xf numFmtId="0" fontId="23" fillId="0" borderId="12" xfId="0" applyNumberFormat="1" applyFont="1" applyFill="1" applyBorder="1" applyAlignment="1">
      <x:alignment vertical="top" wrapText="1"/>
    </x:xf>
    <x:xf numFmtId="0" fontId="23" fillId="0" borderId="7" xfId="0" applyNumberFormat="1" applyFont="1" applyFill="1" applyBorder="1" applyAlignment="1">
      <x:alignment vertical="top" wrapText="1"/>
    </x:xf>
    <x:xf numFmtId="204" fontId="8" fillId="0" borderId="0" xfId="0" applyNumberFormat="1" applyFont="1" applyFill="1" applyBorder="1"/>
    <x:xf numFmtId="204" fontId="10" fillId="0" borderId="0" xfId="0" applyNumberFormat="1" applyFont="1" applyFill="1" applyBorder="1"/>
    <x:xf numFmtId="204" fontId="12" fillId="0" borderId="0" xfId="0" applyNumberFormat="1" applyFont="1" applyFill="1" applyBorder="1"/>
    <x:xf numFmtId="204" fontId="12" fillId="0" borderId="0" xfId="0" applyNumberFormat="1" applyFont="1" applyFill="1" applyBorder="1" applyAlignment="1">
      <x:alignment wrapText="1"/>
    </x:xf>
    <x:xf numFmtId="204" fontId="12" fillId="0" borderId="0" xfId="0" applyNumberFormat="1" applyFont="1" applyFill="1" applyBorder="1" applyAlignment="1">
      <x:alignment vertical="top" wrapText="1"/>
    </x:xf>
    <x:xf numFmtId="204" fontId="12" fillId="0" borderId="14" xfId="0" applyNumberFormat="1" applyFont="1" applyFill="1" applyBorder="1" applyAlignment="1">
      <x:alignment vertical="top" wrapText="1"/>
    </x:xf>
    <x:xf numFmtId="0" fontId="2" fillId="0" borderId="2" xfId="0" applyNumberFormat="1" applyFont="1" applyFill="1" applyBorder="1" applyAlignment="1">
      <x:alignment wrapText="1"/>
    </x:xf>
    <x:xf numFmtId="0" fontId="2" fillId="0" borderId="17" xfId="0" applyNumberFormat="1" applyFont="1" applyFill="1" applyBorder="1" applyAlignment="1">
      <x:alignment wrapText="1"/>
    </x:xf>
    <x:xf numFmtId="0" fontId="2" fillId="0" borderId="3" xfId="0" applyNumberFormat="1" applyFont="1" applyFill="1" applyBorder="1" applyAlignment="1">
      <x:alignment wrapText="1"/>
    </x:xf>
    <x:xf numFmtId="0" fontId="12" fillId="0" borderId="0" xfId="0" applyNumberFormat="1" applyFont="1" applyFill="1" applyBorder="1" applyAlignment="1">
      <x:alignment vertical="top" wrapText="1"/>
    </x:xf>
    <x:xf numFmtId="201" fontId="12" fillId="0" borderId="5" xfId="0" applyNumberFormat="1" applyFont="1" applyFill="1" applyBorder="1" applyAlignment="1">
      <x:alignment vertical="top" wrapText="1"/>
    </x:xf>
    <x:xf numFmtId="201" fontId="12" fillId="0" borderId="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18102f65cbd4b21" /><Relationship Type="http://schemas.openxmlformats.org/officeDocument/2006/relationships/theme" Target="/xl/theme/theme1.xml" Id="Radfaa02d47484700" /><Relationship Type="http://schemas.openxmlformats.org/officeDocument/2006/relationships/sharedStrings" Target="/xl/sharedStrings.xml" Id="R468462b8f64c4e8b" /><Relationship Type="http://schemas.openxmlformats.org/officeDocument/2006/relationships/worksheet" Target="/xl/worksheets/sheet1.xml" Id="Rbda596871c7b45ac" /><Relationship Type="http://schemas.openxmlformats.org/officeDocument/2006/relationships/worksheet" Target="/xl/worksheets/sheet2.xml" Id="R2bc591dbe04148a3" /><Relationship Type="http://schemas.openxmlformats.org/officeDocument/2006/relationships/worksheet" Target="/xl/worksheets/sheet3.xml" Id="Rad97f6526dc24b88" /><Relationship Type="http://schemas.openxmlformats.org/officeDocument/2006/relationships/worksheet" Target="/xl/worksheets/sheet4.xml" Id="R0955e02cfc4445f7" /><Relationship Type="http://schemas.openxmlformats.org/officeDocument/2006/relationships/worksheet" Target="/xl/worksheets/sheet5.xml" Id="Ra1eca51e304642ef" /><Relationship Type="http://schemas.openxmlformats.org/officeDocument/2006/relationships/worksheet" Target="/xl/worksheets/sheet6.xml" Id="Rcc53bbd39fab4259" /><Relationship Type="http://schemas.openxmlformats.org/officeDocument/2006/relationships/worksheet" Target="/xl/worksheets/sheet7.xml" Id="R29e76fd01a364eaf" /><Relationship Type="http://schemas.openxmlformats.org/officeDocument/2006/relationships/worksheet" Target="/xl/worksheets/sheet8.xml" Id="R0befd8f0200d40f9" /><Relationship Type="http://schemas.openxmlformats.org/officeDocument/2006/relationships/worksheet" Target="/xl/worksheets/sheet9.xml" Id="Rb817015958e546e9" /><Relationship Type="http://schemas.openxmlformats.org/officeDocument/2006/relationships/worksheet" Target="/xl/worksheets/sheet10.xml" Id="Rfefb9fed641343c2" /></Relationships>
</file>

<file path=xl/drawings/_rels/drawing1.xml.rels>&#65279;<?xml version="1.0" encoding="utf-8"?><Relationships xmlns="http://schemas.openxmlformats.org/package/2006/relationships"><Relationship Type="http://schemas.openxmlformats.org/officeDocument/2006/relationships/chart" Target="/xl/drawings/charts/chart1.xml" Id="Rc05dc65e35fc4feb" /><Relationship Type="http://schemas.openxmlformats.org/officeDocument/2006/relationships/chart" Target="/xl/drawings/charts/chart2.xml" Id="R0b179dfe08044afc" /></Relationships>
</file>

<file path=xl/drawings/_rels/drawing2.xml.rels>&#65279;<?xml version="1.0" encoding="utf-8"?><Relationships xmlns="http://schemas.openxmlformats.org/package/2006/relationships"><Relationship Type="http://schemas.openxmlformats.org/officeDocument/2006/relationships/chart" Target="/xl/drawings/charts/chart3.xml" Id="R42f76a84c7d640e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What remained after capital spending?</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USD millions</c:v>
          </c:tx>
          <c:spPr>
            <a:solidFill xmlns:a="http://schemas.openxmlformats.org/drawingml/2006/main">
              <a:srgbClr val="8D99A8"/>
            </a:solidFill>
          </c:spPr>
          <c:invertIfNegative val="0"/>
          <c:cat>
            <c:strRef>
              <c:f>'Core charts'!$A$6:$A$8</c:f>
              <c:strCache>
                <c:ptCount val="0"/>
              </c:strCache>
            </c:strRef>
          </c:cat>
          <c:val>
            <c:numRef>
              <c:f>'Core charts'!$B$6:$B$8</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USD millions</a:t>
                </a:r>
              </a:p>
            </c:rich>
          </c:tx>
          <c:overlay val="0"/>
        </c:title>
        <c:numFmt formatCode="#,##0,,;(#,##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How did cash change?</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Cash and equivalents</c:v>
          </c:tx>
          <c:spPr>
            <a:solidFill xmlns:a="http://schemas.openxmlformats.org/drawingml/2006/main">
              <a:srgbClr val="8D99A8"/>
            </a:solidFill>
          </c:spPr>
          <c:invertIfNegative val="0"/>
          <c:cat>
            <c:strRef>
              <c:f>'Core charts'!$A$25:$A$26</c:f>
              <c:strCache>
                <c:ptCount val="0"/>
              </c:strCache>
            </c:strRef>
          </c:cat>
          <c:val>
            <c:numRef>
              <c:f>'Core charts'!$B$25:$B$26</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USD millions</a:t>
                </a:r>
              </a:p>
            </c:rich>
          </c:tx>
          <c:overlay val="0"/>
        </c:title>
        <c:numFmt formatCode="#,##0,,;(#,##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Arial"/>
                <a:ea typeface="Arial"/>
                <a:cs typeface="Arial"/>
              </a:rPr>
              <a:t>Selected payments (USD millions)</a:t>
            </a:r>
          </a:p>
        </c:rich>
      </c:tx>
      <c:overlay val="0"/>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barChart>
        <c:barDir val="col"/>
        <c:varyColors val="0"/>
        <c:ser>
          <c:idx val="0"/>
          <c:order val="0"/>
          <c:tx>
            <c:v>USD</c:v>
          </c:tx>
          <c:spPr>
            <a:solidFill xmlns:a="http://schemas.openxmlformats.org/drawingml/2006/main">
              <a:srgbClr val="737985"/>
            </a:solidFill>
          </c:spPr>
          <c:invertIfNegative val="0"/>
          <c:cat>
            <c:strRef>
              <c:f>'Payment dates'!$H$25:$H$30</c:f>
              <c:strCache>
                <c:ptCount val="0"/>
              </c:strCache>
            </c:strRef>
          </c:cat>
          <c:val>
            <c:numRef>
              <c:f>'Payment dates'!$I$25:$I$30</c:f>
              <c:numCache>
                <c:formatCode>#,##0,,;(#,##0,,);"-"</c:formatCode>
                <c:ptCount val="0"/>
              </c:numCache>
            </c:numRef>
          </c:val>
        </c:ser>
        <c:axId val="48650112"/>
        <c:axId val="48672768"/>
      </c:barChart>
      <c:catAx>
        <c:axId val="48650112"/>
        <c:scaling>
          <c:orientation val="minMax"/>
        </c:scaling>
        <c:delete val="0"/>
        <c:axPos val="b"/>
        <c:numFmt formatCode="General"/>
        <c:majorTickMark val="none"/>
        <c:minorTickMark val="none"/>
        <c:tickLblPos val="low"/>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3</xdr:row>
      <xdr:rowOff>0</xdr:rowOff>
    </xdr:from>
    <xdr:to>
      <xdr:col>15</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05dc65e35fc4feb"/>
        </a:graphicData>
      </a:graphic>
    </xdr:graphicFrame>
    <xdr:clientData/>
  </xdr:twoCellAnchor>
  <xdr:twoCellAnchor>
    <xdr:from>
      <xdr:col>5</xdr:col>
      <xdr:colOff>0</xdr:colOff>
      <xdr:row>22</xdr:row>
      <xdr:rowOff>0</xdr:rowOff>
    </xdr:from>
    <xdr:to>
      <xdr:col>15</xdr:col>
      <xdr:colOff>0</xdr:colOff>
      <xdr:row>39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b179dfe08044afc"/>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13</xdr:row>
      <xdr:rowOff>0</xdr:rowOff>
    </xdr:from>
    <xdr:to>
      <xdr:col>6</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2f76a84c7d640e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drawing" Target="/xl/drawings/drawing1.xml" Id="R7e8e658a67fa44f0" /></Relationships>
</file>

<file path=xl/worksheets/_rels/sheet7.xml.rels>&#65279;<?xml version="1.0" encoding="utf-8"?><Relationships xmlns="http://schemas.openxmlformats.org/package/2006/relationships"><Relationship Type="http://schemas.openxmlformats.org/officeDocument/2006/relationships/drawing" Target="/xl/drawings/drawing2.xml" Id="R06ffa364a14a4bfc" /></Relationships>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108" hidden="0" customWidth="1"/>
  </x:cols>
  <x:sheetData>
    <x:row r="1">
      <x:c r="A1" s="4"/>
      <x:c r="B1" s="4"/>
    </x:row>
    <x:row r="2" ht="26" customHeight="1">
      <x:c r="A2" s="7" t="str">
        <x:v>Vistra Corp. funding conclusion</x:v>
      </x:c>
      <x:c r="B2" s="4"/>
    </x:row>
    <x:row r="3" ht="24" customHeight="1">
      <x:c r="A3" s="8" t="str">
        <x:v>Balance sheet 2026-06-30. Interpretation checked 2026-10-16. Source dates remain historical.</x:v>
      </x:c>
      <x:c r="B3" s="4"/>
    </x:row>
    <x:row r="4">
      <x:c r="A4" s="4"/>
      <x:c r="B4" s="4"/>
    </x:row>
    <x:row r="5">
      <x:c r="A5" s="13" t="str">
        <x:v>Question</x:v>
      </x:c>
      <x:c r="B5" s="14" t="str">
        <x:v>Checked interpretation</x:v>
      </x:c>
    </x:row>
    <x:row r="6" ht="55" customHeight="1">
      <x:c r="A6" s="15" t="str">
        <x:v>Conclusion</x:v>
      </x:c>
      <x:c r="B6" s="16" t="str">
        <x:v>Selected late-2026 payments require attention to facility conditions and where funds sit. June reported liquidity cannot be treated as current cash available to Parent, and historical earnings coverage does not resolve those access constraints.</x:v>
      </x:c>
    </x:row>
    <x:row r="7" ht="76" customHeight="1">
      <x:c r="A7" s="15" t="str">
        <x:v>Near-term obligations</x:v>
      </x:c>
      <x:c r="B7" s="16" t="str">
        <x:v>June 30 disclosures identify $261M Pulaski bridge principal due Dec 3, 2026, $297M construction balance with December conversion conditions, $500M notes due Dec 30 and $631M Nuveen principal/interest due Dec 31. Vistra guarantees the bridge. This is not a complete debt-service schedule. A further $800M notes mature Jan 30, 2027.</x:v>
      </x:c>
    </x:row>
    <x:row r="8" ht="76" customHeight="1">
      <x:c r="A8" s="15" t="str">
        <x:v>Resources and access</x:v>
      </x:c>
      <x:c r="B8" s="16" t="str">
        <x:v>June 30 cash was $435M, excluding $46M restricted cash. Reported liquidity $6.295B also included $4.408B revolver and $1.452B commodity-linked availability at that date. Revolver LCs already reduce capacity. Current drawable capacity and Parent-accessible cash are Unavailable. Project debt and collateral constrain transfers.</x:v>
      </x:c>
    </x:row>
    <x:row r="9" ht="76" customHeight="1">
      <x:c r="A9" s="15" t="str">
        <x:v>Competing cash uses</x:v>
      </x:c>
      <x:c r="B9" s="16" t="str">
        <x:v>H1 2026 OCF less capex/nuclear fuel/LTSA prepayments was $650M, against $959M buybacks/dividends. Approximately $2.3B Cogentrix cash consideration was expected at a conditional late-2026 closing. Helix's initial $500M remained callable at June 30. The additional up-to-$500M was conditional or elective.</x:v>
      </x:c>
    </x:row>
    <x:row r="10" ht="76" customHeight="1">
      <x:c r="A10" s="17" t="str">
        <x:v>Decisive unknowns</x:v>
      </x:c>
      <x:c r="B10" s="18" t="str">
        <x:v>Future funding coverage: Unavailable. Needed: current borrowing base, draw-condition compliance, Parent transfers and closing/call timing. Helix funded-to-date and completed preferred redemptions are unresolved. Later issuance proceeds are not added to June liquidity. Project debt is already included in baseline borrowing.</x:v>
      </x:c>
    </x:row>
    <x:row r="11">
      <x:c r="A11" s="4"/>
      <x:c r="B11" s="4"/>
    </x:row>
    <x:row r="12" ht="32" customHeight="1">
      <x:c r="A12" s="13" t="str">
        <x:v>Historical interest coverage</x:v>
      </x:c>
      <x:c r="B12" s="14" t="str">
        <x:v>Multiple; historical accrual earnings / interest, not repayment coverage</x:v>
      </x:c>
    </x:row>
    <x:row r="13">
      <x:c r="A13" s="23" t="str">
        <x:v>TTM coverage (x)</x:v>
      </x:c>
      <x:c r="B13" s="24" t="n">
        <x:f>IF(ISNUMBER('Cash review'!B79),'Cash review'!B79,NA())</x:f>
        <x:v>3.189794091316025</x:v>
      </x:c>
    </x:row>
    <x:row r="14" ht="72" customHeight="1">
      <x:c r="A14" s="25" t="str">
        <x:v>Company-specific basis</x:v>
      </x:c>
      <x:c r="B14" s="16" t="str">
        <x:v>TTM Jul 2025–Jun 2026: reported operating income $3.563B / separate interest component $1.117B, before the capitalized-interest deduction. The swap/extinguishment/Other bridge reconciles. Receivables/Nuveen allocation and all-in financing-cost coverage remain Unavailable.</x:v>
      </x:c>
    </x:row>
    <x:row r="15" ht="88" customHeight="1">
      <x:c r="A15" s="26" t="str">
        <x:v>Interpretation across companies</x:v>
      </x:c>
      <x:c r="B15" s="18" t="str">
        <x:v>Coverage bases differ: Lilly derives operating income and its interim capitalization basis is unstated. Oracle uses reported operating income and a reported interest line with unresolved composition/capitalization. Vistra uses reported operating income and a separate interest component before the capitalized-interest deduction. The periods also differ. These historical accrual ratios do not rank funding strength, measure covenant headroom or prove future repayment capacity.</x:v>
      </x:c>
    </x:row>
    <x:row r="16">
      <x:c r="A16" s="4"/>
      <x:c r="B16" s="4"/>
    </x:row>
    <x:row r="17" ht="42" customHeight="1">
      <x:c r="A17" s="5" t="str">
        <x:v>Future funding coverage</x:v>
      </x:c>
      <x:c r="B17" s="4" t="str">
        <x:v>Unavailable: payment timing, accessible resources and future cash generation are not jointly established.</x:v>
      </x:c>
    </x:row>
    <x:row r="18" ht="42" customHeight="1">
      <x:c r="A18" s="4" t="str">
        <x:v>Source interpretation</x:v>
      </x:c>
      <x:c r="B18" s="4" t="str">
        <x:v>Narrative reflects the checked source snapshot. Editing workbook inputs updates calculations but requires a new review of the narrative.</x:v>
      </x:c>
    </x:row>
    <x:row r="20" ht="44" customHeight="1">
      <x:c r="A20" s="13" t="str">
        <x:v>Workbook contents — select the named tab</x:v>
      </x:c>
      <x:c r="B20" s="14" t="str">
        <x:v>Question / evidence</x:v>
      </x:c>
    </x:row>
    <x:row r="21" ht="44" customHeight="1">
      <x:c r="A21" s="15" t="str">
        <x:v>Funding conclusion</x:v>
      </x:c>
      <x:c r="B21" s="16" t="str">
        <x:v>Start here: obligations, accessible resources, competing uses and decisive unknowns.</x:v>
      </x:c>
    </x:row>
    <x:row r="22" ht="44" customHeight="1">
      <x:c r="A22" s="15" t="str">
        <x:v>Borrowing and leases</x:v>
      </x:c>
      <x:c r="B22" s="16" t="str">
        <x:v>Borrowing components, dated lease liabilities and uncommenced commitments, separately.</x:v>
      </x:c>
    </x:row>
    <x:row r="23" ht="44" customHeight="1">
      <x:c r="A23" s="15" t="str">
        <x:v>Debt and liquidity</x:v>
      </x:c>
      <x:c r="B23" s="16" t="str">
        <x:v>Latest checked ratios, formulas, periods and company-specific limits.</x:v>
      </x:c>
    </x:row>
    <x:row r="24" ht="44" customHeight="1">
      <x:c r="A24" s="15" t="str">
        <x:v>History</x:v>
      </x:c>
      <x:c r="B24" s="16" t="str">
        <x:v>Annual versus latest dated balances; overlapping FY and TTM flows. Unavailable is not zero.</x:v>
      </x:c>
    </x:row>
    <x:row r="25" ht="44" customHeight="1">
      <x:c r="A25" s="15" t="str">
        <x:v>Core charts</x:v>
      </x:c>
      <x:c r="B25" s="16" t="str">
        <x:v>What remained after capital spending, and how checked cash/borrowing balances changed.</x:v>
      </x:c>
    </x:row>
    <x:row r="26" ht="44" customHeight="1">
      <x:c r="A26" s="15" t="str">
        <x:v>Cash review</x:v>
      </x:c>
      <x:c r="B26" s="16" t="str">
        <x:v>Cash uses and interest/swaps/extinguishment/capitalization reconciliation.</x:v>
      </x:c>
    </x:row>
    <x:row r="27" ht="44" customHeight="1">
      <x:c r="A27" s="15" t="str">
        <x:v>Payment dates</x:v>
      </x:c>
      <x:c r="B27" s="16" t="str">
        <x:v>Selected Nuveen, Helix and project payments; conditional or unknown dates stay explicit.</x:v>
      </x:c>
    </x:row>
    <x:row r="28" ht="44" customHeight="1">
      <x:c r="A28" s="15" t="str">
        <x:v>Financing capacity</x:v>
      </x:c>
      <x:c r="B28" s="16" t="str">
        <x:v>Resource access, letters of credit, facility conditions and Parent restrictions.</x:v>
      </x:c>
    </x:row>
    <x:row r="29" ht="44" customHeight="1">
      <x:c r="A29" s="15" t="str">
        <x:v>Data</x:v>
      </x:c>
      <x:c r="B29" s="16" t="str">
        <x:v>Reported inputs with filing dates, accessions, tags, contexts and source URLs; separate evidence blocks.</x:v>
      </x:c>
    </x:row>
    <x:row r="30" ht="44" customHeight="1">
      <x:c r="A30" s="17" t="str">
        <x:v>About</x:v>
      </x:c>
      <x:c r="B30" s="18" t="str">
        <x:v>Definitions, source scope, missing values, colors and methodology references.</x:v>
      </x:c>
    </x:row>
    <x:row r="32" ht="55" customHeight="1">
      <x:c r="A32" s="209" t="str">
        <x:v>Units and dates</x:v>
      </x:c>
      <x:c r="B32" s="211" t="str">
        <x:v>Amounts are stored as whole USD and displayed in millions unless marked x or %. Balance sheets are instants; FY and later TTM are overlapping twelve-month windows.</x:v>
      </x:c>
    </x:row>
    <x:row r="33" ht="55" customHeight="1">
      <x:c r="A33" s="25" t="str">
        <x:v>Colors</x:v>
      </x:c>
      <x:c r="B33" s="16" t="str">
        <x:v>Blue numeric cells are reported inputs; green formulas reference other sheets; black formulas calculate within a sheet. Green does not mean favorable or recurring cash.</x:v>
      </x:c>
    </x:row>
    <x:row r="34" ht="55" customHeight="1">
      <x:c r="A34" s="25" t="str">
        <x:v>Evidence and uncertainty</x:v>
      </x:c>
      <x:c r="B34" s="16" t="str">
        <x:v>Data contains source URLs and filing metadata. Copy a full URL into a browser to open the source. Unavailable is never zero; capacity and later events do not update balance-sheet cash or borrowing.</x:v>
      </x:c>
    </x:row>
    <x:row r="35" ht="55" customHeight="1">
      <x:c r="A35" s="26" t="str">
        <x:v>Reading the charts</x:v>
      </x:c>
      <x:c r="B35" s="18" t="str">
        <x:v>FCF is OCF less capital spending, not another cash flow to add. Vistra has no supported older borrowing series. Other existing company-specific charts retain their own dated scope.</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2" hidden="0" customWidth="1"/>
    <x:col min="2" max="2" width="21" hidden="0" customWidth="1"/>
    <x:col min="3" max="3" width="20" hidden="0" customWidth="1"/>
    <x:col min="4" max="4" width="38" hidden="0" customWidth="1"/>
    <x:col min="5" max="5" width="72" hidden="0" customWidth="1"/>
  </x:cols>
  <x:sheetData>
    <x:row r="1" ht="12" customHeight="1">
      <x:c r="A1" s="4"/>
      <x:c r="B1" s="4"/>
      <x:c r="C1" s="4"/>
      <x:c r="D1" s="4"/>
      <x:c r="E1" s="4"/>
    </x:row>
    <x:row r="2" ht="25" customHeight="1">
      <x:c r="A2" s="7" t="str">
        <x:v>Vistra Corp. borrowing and leases</x:v>
      </x:c>
      <x:c r="B2" s="4"/>
      <x:c r="C2" s="4"/>
      <x:c r="D2" s="4"/>
      <x:c r="E2" s="4"/>
    </x:row>
    <x:row r="3" ht="25" customHeight="1">
      <x:c r="A3" s="8" t="str">
        <x:v>Amounts in USD millions. Each balance retains its own date. Baseline borrowing excludes leases.</x:v>
      </x:c>
      <x:c r="B3" s="4"/>
      <x:c r="C3" s="4"/>
      <x:c r="D3" s="4"/>
      <x:c r="E3" s="4"/>
    </x:row>
    <x:row r="4" ht="12" customHeight="1">
      <x:c r="A4" s="4"/>
      <x:c r="B4" s="4"/>
      <x:c r="C4" s="4"/>
      <x:c r="D4" s="4"/>
      <x:c r="E4" s="4"/>
    </x:row>
    <x:row r="5" ht="28" customHeight="1">
      <x:c r="A5" s="13" t="str">
        <x:v>Borrowing component</x:v>
      </x:c>
      <x:c r="B5" s="226" t="str">
        <x:v>USD millions</x:v>
      </x:c>
      <x:c r="C5" s="226" t="str">
        <x:v>As of</x:v>
      </x:c>
      <x:c r="D5" s="226" t="str">
        <x:v>Source / filing</x:v>
      </x:c>
      <x:c r="E5" s="14" t="str">
        <x:v>Basis</x:v>
      </x:c>
    </x:row>
    <x:row r="6" ht="42" customHeight="1">
      <x:c r="A6" s="25" t="str">
        <x:v>Long-term debt, current portion</x:v>
      </x:c>
      <x:c r="B6" s="248" t="n">
        <x:f>IF(ISNUMBER('Data'!B127),'Data'!B127,NA())</x:f>
        <x:v>1876000000</x:v>
      </x:c>
      <x:c r="C6" s="235" t="d">
        <x:v>2026-06-30T00:00:00.000Z</x:v>
      </x:c>
      <x:c r="D6" s="212" t="str">
        <x:v>10-Q balance sheet, p. 2; Note 12, p. 20; filed 2026-08-10</x:v>
      </x:c>
      <x:c r="E6" s="16" t="str">
        <x:v>Long-term debt due currently</x:v>
      </x:c>
    </x:row>
    <x:row r="7" ht="42" customHeight="1">
      <x:c r="A7" s="25" t="str">
        <x:v>Long-term debt, noncurrent</x:v>
      </x:c>
      <x:c r="B7" s="248" t="n">
        <x:f>IF(ISNUMBER('Data'!B128),'Data'!B128,NA())</x:f>
        <x:v>17719000000</x:v>
      </x:c>
      <x:c r="C7" s="235" t="d">
        <x:v>2026-06-30T00:00:00.000Z</x:v>
      </x:c>
      <x:c r="D7" s="212" t="str">
        <x:v>10-Q balance sheet, p. 2; Note 12, p. 20; filed 2026-08-10</x:v>
      </x:c>
      <x:c r="E7" s="16" t="str">
        <x:v>Long-term debt, less amounts due currently</x:v>
      </x:c>
    </x:row>
    <x:row r="8" ht="42" customHeight="1">
      <x:c r="A8" s="25" t="str">
        <x:v>Short-term borrowings</x:v>
      </x:c>
      <x:c r="B8" s="248" t="n">
        <x:f>IF(ISNUMBER('Data'!B129),'Data'!B129,NA())</x:f>
        <x:v>0</x:v>
      </x:c>
      <x:c r="C8" s="235" t="d">
        <x:v>2026-06-30T00:00:00.000Z</x:v>
      </x:c>
      <x:c r="D8" s="212" t="str">
        <x:v>10-Q balance sheet, p. 2; Note 12, p. 20; filed 2026-08-10</x:v>
      </x:c>
      <x:c r="E8" s="16" t="str">
        <x:v>Reported zero, not a missing input.</x:v>
      </x:c>
    </x:row>
    <x:row r="9" ht="42" customHeight="1">
      <x:c r="A9" s="25" t="str">
        <x:v>Accounts receivable financing</x:v>
      </x:c>
      <x:c r="B9" s="248" t="n">
        <x:f>IF(ISNUMBER('Data'!B130),'Data'!B130,NA())</x:f>
        <x:v>300000000</x:v>
      </x:c>
      <x:c r="C9" s="235" t="d">
        <x:v>2026-06-30T00:00:00.000Z</x:v>
      </x:c>
      <x:c r="D9" s="212" t="str">
        <x:v>10-Q balance sheet, p. 2; Note 12, p. 20; filed 2026-08-10</x:v>
      </x:c>
      <x:c r="E9" s="16" t="str">
        <x:v>Accounts receivable financing</x:v>
      </x:c>
    </x:row>
    <x:row r="10" ht="42" customHeight="1">
      <x:c r="A10" s="263" t="str">
        <x:v>Baseline gross debt</x:v>
      </x:c>
      <x:c r="B10" s="264" t="n">
        <x:f>SUM(B6:B9)</x:f>
        <x:v>19895000000</x:v>
      </x:c>
      <x:c r="C10" s="265" t="d">
        <x:v>2026-06-30T00:00:00.000Z</x:v>
      </x:c>
      <x:c r="D10" s="266" t="str">
        <x:v>Derived from the components above</x:v>
      </x:c>
      <x:c r="E10" s="267" t="str">
        <x:v>Carrying amount; excludes leases.</x:v>
      </x:c>
    </x:row>
    <x:row r="11" ht="12" customHeight="1">
      <x:c r="A11" s="4"/>
      <x:c r="B11" s="231"/>
      <x:c r="C11" s="233"/>
      <x:c r="D11" s="4"/>
      <x:c r="E11" s="4"/>
    </x:row>
    <x:row r="12" ht="58" customHeight="1">
      <x:c r="A12" s="4" t="str">
        <x:v>Borrowing scope</x:v>
      </x:c>
      <x:c r="B12" s="231"/>
      <x:c r="C12" s="233"/>
      <x:c r="D12" s="4"/>
      <x:c r="E12" s="4" t="str">
        <x:v>Project-level debt is already included in long-term debt. Nuveen's purchase obligation and affiliate margin-deposit financing remain separate. Note 12's debt itemization contains no lease line.</x:v>
      </x:c>
    </x:row>
    <x:row r="13" ht="12" customHeight="1">
      <x:c r="A13" s="4"/>
      <x:c r="B13" s="231"/>
      <x:c r="C13" s="233"/>
      <x:c r="D13" s="4"/>
      <x:c r="E13" s="4"/>
    </x:row>
    <x:row r="14" ht="12" customHeight="1">
      <x:c r="A14" s="4"/>
      <x:c r="B14" s="231"/>
      <x:c r="C14" s="233"/>
      <x:c r="D14" s="4"/>
      <x:c r="E14" s="4"/>
    </x:row>
    <x:row r="15" ht="28" customHeight="1">
      <x:c r="A15" s="13" t="str">
        <x:v>Lease liability / commitment</x:v>
      </x:c>
      <x:c r="B15" s="250" t="str">
        <x:v>USD millions</x:v>
      </x:c>
      <x:c r="C15" s="251" t="str">
        <x:v>As of</x:v>
      </x:c>
      <x:c r="D15" s="226" t="str">
        <x:v>Source / filing</x:v>
      </x:c>
      <x:c r="E15" s="14" t="str">
        <x:v>Basis / Unavailable reason</x:v>
      </x:c>
    </x:row>
    <x:row r="16" ht="42" customHeight="1">
      <x:c r="A16" s="25" t="str">
        <x:v>Lease liabilities at latest balance sheet</x:v>
      </x:c>
      <x:c r="B16" s="252" t="str">
        <x:v>Unavailable</x:v>
      </x:c>
      <x:c r="C16" s="235" t="d">
        <x:v>2026-06-30T00:00:00.000Z</x:v>
      </x:c>
      <x:c r="D16" s="212" t="str">
        <x:v>Checked 10-Q review</x:v>
      </x:c>
      <x:c r="E16" s="16" t="str">
        <x:v>No lease liability amounts established in this 10-Q. Older amounts below are not substituted.</x:v>
      </x:c>
    </x:row>
    <x:row r="17" ht="42" customHeight="1">
      <x:c r="A17" s="25" t="str">
        <x:v>Operating lease liabilities — current</x:v>
      </x:c>
      <x:c r="B17" s="248" t="n">
        <x:f>IF(ISNUMBER('Data'!B132),'Data'!B132,NA())</x:f>
        <x:v>13000000</x:v>
      </x:c>
      <x:c r="C17" s="235" t="d">
        <x:v>2025-12-31T00:00:00.000Z</x:v>
      </x:c>
      <x:c r="D17" s="212" t="str">
        <x:v>10-K lease note, pp. 122–123; filed 2026-02-27</x:v>
      </x:c>
      <x:c r="E17" s="16" t="str">
        <x:v>Recognized lease liability; excluded from baseline borrowing.</x:v>
      </x:c>
    </x:row>
    <x:row r="18" ht="42" customHeight="1">
      <x:c r="A18" s="25" t="str">
        <x:v>Operating lease liabilities — noncurrent</x:v>
      </x:c>
      <x:c r="B18" s="248" t="n">
        <x:f>IF(ISNUMBER('Data'!B133),'Data'!B133,NA())</x:f>
        <x:v>92000000</x:v>
      </x:c>
      <x:c r="C18" s="235" t="d">
        <x:v>2025-12-31T00:00:00.000Z</x:v>
      </x:c>
      <x:c r="D18" s="212" t="str">
        <x:v>10-K lease note, pp. 122–123; filed 2026-02-27</x:v>
      </x:c>
      <x:c r="E18" s="16" t="str">
        <x:v>Recognized lease liability; excluded from baseline borrowing.</x:v>
      </x:c>
    </x:row>
    <x:row r="19" ht="42" customHeight="1">
      <x:c r="A19" s="272" t="str">
        <x:v>Operating lease liabilities — total</x:v>
      </x:c>
      <x:c r="B19" s="273" t="n">
        <x:f>B17+B18</x:f>
        <x:v>105000000</x:v>
      </x:c>
      <x:c r="C19" s="274" t="d">
        <x:v>2025-12-31T00:00:00.000Z</x:v>
      </x:c>
      <x:c r="D19" s="275" t="str">
        <x:v>10-K lease note, pp. 122–123</x:v>
      </x:c>
      <x:c r="E19" s="276" t="str">
        <x:v>Components match the reported total.</x:v>
      </x:c>
    </x:row>
    <x:row r="20" ht="42" customHeight="1">
      <x:c r="A20" s="25" t="str">
        <x:v>Finance lease liabilities — current</x:v>
      </x:c>
      <x:c r="B20" s="248" t="n">
        <x:f>IF(ISNUMBER('Data'!B135),'Data'!B135,NA())</x:f>
        <x:v>4000000</x:v>
      </x:c>
      <x:c r="C20" s="235" t="d">
        <x:v>2025-12-31T00:00:00.000Z</x:v>
      </x:c>
      <x:c r="D20" s="212" t="str">
        <x:v>10-K lease note, pp. 122–123; filed 2026-02-27</x:v>
      </x:c>
      <x:c r="E20" s="16" t="str">
        <x:v>Recognized lease liability; excluded from baseline borrowing.</x:v>
      </x:c>
    </x:row>
    <x:row r="21" ht="42" customHeight="1">
      <x:c r="A21" s="25" t="str">
        <x:v>Finance lease liabilities — noncurrent</x:v>
      </x:c>
      <x:c r="B21" s="248" t="n">
        <x:f>IF(ISNUMBER('Data'!B136),'Data'!B136,NA())</x:f>
        <x:v>218000000</x:v>
      </x:c>
      <x:c r="C21" s="235" t="d">
        <x:v>2025-12-31T00:00:00.000Z</x:v>
      </x:c>
      <x:c r="D21" s="212" t="str">
        <x:v>10-K lease note, pp. 122–123; filed 2026-02-27</x:v>
      </x:c>
      <x:c r="E21" s="16" t="str">
        <x:v>Recognized lease liability; excluded from baseline borrowing.</x:v>
      </x:c>
    </x:row>
    <x:row r="22" ht="42" customHeight="1">
      <x:c r="A22" s="263" t="str">
        <x:v>Finance lease liabilities — total</x:v>
      </x:c>
      <x:c r="B22" s="264" t="n">
        <x:f>B20+B21</x:f>
        <x:v>222000000</x:v>
      </x:c>
      <x:c r="C22" s="265" t="d">
        <x:v>2025-12-31T00:00:00.000Z</x:v>
      </x:c>
      <x:c r="D22" s="266" t="str">
        <x:v>10-K lease note, pp. 122–123</x:v>
      </x:c>
      <x:c r="E22" s="267" t="str">
        <x:v>Components match the reported total.</x:v>
      </x:c>
    </x:row>
    <x:row r="23" ht="12" customHeight="1">
      <x:c r="A23" s="4"/>
      <x:c r="B23" s="231"/>
      <x:c r="C23" s="233"/>
      <x:c r="D23" s="4"/>
      <x:c r="E23" s="4"/>
    </x:row>
    <x:row r="24" ht="54" customHeight="1">
      <x:c r="A24" s="254" t="str">
        <x:v>Leases not yet commenced</x:v>
      </x:c>
      <x:c r="B24" s="255" t="str">
        <x:v>Unavailable</x:v>
      </x:c>
      <x:c r="C24" s="256" t="d">
        <x:v>2026-06-30T00:00:00.000Z</x:v>
      </x:c>
      <x:c r="D24" s="257" t="str">
        <x:v>Saved pilot evidence; 10-Q review</x:v>
      </x:c>
      <x:c r="E24" s="258" t="str">
        <x:v>No checked amount for leases not yet commenced is established in the saved pilot evidence. Unavailable does not mean zero.</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42" hidden="0" customWidth="1"/>
    <x:col min="2" max="2" width="29" hidden="0" customWidth="1"/>
    <x:col min="3" max="3" width="23" hidden="0" customWidth="1"/>
    <x:col min="4" max="4" width="78" hidden="0" customWidth="1"/>
  </x:cols>
  <x:sheetData>
    <x:row r="2">
      <x:c r="A2" s="279" t="str">
        <x:v>Vistra Corp.</x:v>
      </x:c>
    </x:row>
    <x:row r="3">
      <x:c r="A3" s="277" t="str">
        <x:v>Balance sheet 2026-06-30. TTM 2025-07-01 to 2026-06-30. USD millions unless x or %.</x:v>
      </x:c>
    </x:row>
    <x:row r="5">
      <x:c r="A5" s="13" t="str">
        <x:v>Measure</x:v>
      </x:c>
      <x:c r="B5" s="226" t="str">
        <x:v>Value (USD millions / x / %)</x:v>
      </x:c>
      <x:c r="C5" s="226" t="str">
        <x:v>Period end</x:v>
      </x:c>
      <x:c r="D5" s="14" t="str">
        <x:v>Formula / basis / limitation</x:v>
      </x:c>
    </x:row>
    <x:row r="6" ht="50" customHeight="1">
      <x:c r="A6" s="25" t="str">
        <x:v>Cash and cash equivalents</x:v>
      </x:c>
      <x:c r="B6" s="248" t="n">
        <x:f>IF(ISNUMBER('Data'!B142),'Data'!B142,NA())</x:f>
        <x:v>435000000</x:v>
      </x:c>
      <x:c r="C6" s="235" t="d">
        <x:v>2026-06-30T00:00:00.000Z</x:v>
      </x:c>
      <x:c r="D6" s="299" t="str">
        <x:v>Cash and cash equivalents excluding restricted cash. Investments are not substituted.</x:v>
      </x:c>
    </x:row>
    <x:row r="7" ht="50" customHeight="1">
      <x:c r="A7" s="272" t="str">
        <x:v>Baseline gross debt</x:v>
      </x:c>
      <x:c r="B7" s="298" t="n">
        <x:f>IF(AND(IF(ISNUMBER('Data'!B143),'Data'!B143,NA())&gt;=0,IF(ISNUMBER('Data'!B144),'Data'!B144,NA())&gt;=0,IF(ISNUMBER('Data'!B145),'Data'!B145,NA())&gt;=0,IF(ISNUMBER('Data'!B146),'Data'!B146,NA())&gt;=0),IF(ISNUMBER('Data'!B143),'Data'!B143,NA())+IF(ISNUMBER('Data'!B144),'Data'!B144,NA())+IF(ISNUMBER('Data'!B145),'Data'!B145,NA())+IF(ISNUMBER('Data'!B146),'Data'!B146,NA()),NA())</x:f>
        <x:v>19895000000</x:v>
      </x:c>
      <x:c r="C7" s="274" t="d">
        <x:v>2026-06-30T00:00:00.000Z</x:v>
      </x:c>
      <x:c r="D7" s="300" t="str">
        <x:v>Carrying amount of borrowing. Operating/finance leases and commitments are excluded. </x:v>
      </x:c>
    </x:row>
    <x:row r="8" ht="50" customHeight="1">
      <x:c r="A8" s="272" t="str">
        <x:v>Net debt</x:v>
      </x:c>
      <x:c r="B8" s="273" t="n">
        <x:f>B7-B6</x:f>
        <x:v>19460000000</x:v>
      </x:c>
      <x:c r="C8" s="274" t="d">
        <x:v>2026-06-30T00:00:00.000Z</x:v>
      </x:c>
      <x:c r="D8" s="300" t="str">
        <x:v>Baseline borrowing less cash excluding restricted cash. Same date and filing. Negative net debt is retained.</x:v>
      </x:c>
    </x:row>
    <x:row r="9" ht="53" customHeight="1">
      <x:c r="A9" s="25" t="str">
        <x:v>Current ratio</x:v>
      </x:c>
      <x:c r="B9" s="294" t="n">
        <x:f>IF(IF(ISNUMBER('Data'!B147),'Data'!B147,NA())&gt;0,IF(ISNUMBER('Data'!B148),'Data'!B148,NA())/IF(ISNUMBER('Data'!B147),'Data'!B147,NA()),NA())</x:f>
        <x:v>0.9733825897508762</x:v>
      </x:c>
      <x:c r="C9" s="235" t="d">
        <x:v>2026-06-30T00:00:00.000Z</x:v>
      </x:c>
      <x:c r="D9" s="299" t="str">
        <x:v>Total current assets / total current liabilities from one balance sheet. Liabilities include more than borrowing; assets include more than cash.</x:v>
      </x:c>
    </x:row>
    <x:row r="10" ht="50" customHeight="1">
      <x:c r="A10" s="25" t="str">
        <x:v>Operating cash flow</x:v>
      </x:c>
      <x:c r="B10" s="248" t="n">
        <x:f>(1*IF(ISNUMBER('Data'!B149),'Data'!B149,NA()))+(1*IF(ISNUMBER('Data'!B150),'Data'!B150,NA()))+(-1*IF(ISNUMBER('Data'!B151),'Data'!B151,NA()))</x:f>
        <x:v>5121000000</x:v>
      </x:c>
      <x:c r="C10" s="235" t="d">
        <x:v>2026-06-30T00:00:00.000Z</x:v>
      </x:c>
      <x:c r="D10" s="299" t="str">
        <x:v>Reported historical OCF; recurrence is not established. Uses FY + current YTD - prior YTD.</x:v>
      </x:c>
    </x:row>
    <x:row r="11" ht="53" customHeight="1">
      <x:c r="A11" s="25" t="str">
        <x:v>Capital expenditures, including nuclear fuel and LTSA prepayments</x:v>
      </x:c>
      <x:c r="B11" s="248" t="n">
        <x:f>(1*IF(ISNUMBER('Data'!B152),'Data'!B152,NA()))+(1*IF(ISNUMBER('Data'!B153),'Data'!B153,NA()))+(-1*IF(ISNUMBER('Data'!B154),'Data'!B154,NA()))</x:f>
        <x:v>2866000000</x:v>
      </x:c>
      <x:c r="C11" s="235" t="d">
        <x:v>2026-06-30T00:00:00.000Z</x:v>
      </x:c>
      <x:c r="D11" s="299" t="str">
        <x:v>The reported capex line includes nuclear fuel purchases and long-term service agreement (LTSA) prepayments. It is used as reported; acquisitions and other investing cash flows are excluded.</x:v>
      </x:c>
    </x:row>
    <x:row r="12" ht="50" customHeight="1">
      <x:c r="A12" s="272" t="str">
        <x:v>Free cash flow</x:v>
      </x:c>
      <x:c r="B12" s="273" t="n">
        <x:f>B10-B11</x:f>
        <x:v>2255000000</x:v>
      </x:c>
      <x:c r="C12" s="274" t="d">
        <x:v>2026-06-30T00:00:00.000Z</x:v>
      </x:c>
      <x:c r="D12" s="300" t="str">
        <x:v>OCF less reported capital spending. Uses the spending basis above; excludes acquisitions, dividends and other cash uses.</x:v>
      </x:c>
    </x:row>
    <x:row r="13" ht="50" customHeight="1">
      <x:c r="A13" s="25" t="str">
        <x:v>Operating cash flow / debt</x:v>
      </x:c>
      <x:c r="B13" s="295" t="n">
        <x:f>IF(B7&gt;0,B10/B7,NA())</x:f>
        <x:v>0.25740135712490575</x:v>
      </x:c>
      <x:c r="C13" s="235" t="d">
        <x:v>2026-06-30T00:00:00.000Z</x:v>
      </x:c>
      <x:c r="D13" s="299" t="str">
        <x:v>Historical TTM OCF / period-end baseline borrowing, not average debt or repayment coverage. The reported OCF basis above is retained.</x:v>
      </x:c>
    </x:row>
    <x:row r="14" ht="50" customHeight="1">
      <x:c r="A14" s="25" t="str">
        <x:v>Free cash flow / debt</x:v>
      </x:c>
      <x:c r="B14" s="295" t="n">
        <x:f>IF(B7&gt;0,B12/B7,NA())</x:f>
        <x:v>0.11334506157325962</x:v>
      </x:c>
      <x:c r="C14" s="235" t="d">
        <x:v>2026-06-30T00:00:00.000Z</x:v>
      </x:c>
      <x:c r="D14" s="299" t="str">
        <x:v>Historical TTM FCF / period-end baseline borrowing. Uses the spending basis above; not repayment coverage.</x:v>
      </x:c>
    </x:row>
    <x:row r="15" ht="92" customHeight="1">
      <x:c r="A15" s="26" t="str">
        <x:v>Historical interest coverage</x:v>
      </x:c>
      <x:c r="B15" s="296" t="n">
        <x:f>'Cash review'!B79</x:f>
        <x:v>3.189794091316025</x:v>
      </x:c>
      <x:c r="C15" s="237" t="d">
        <x:v>2026-06-30T00:00:00.000Z</x:v>
      </x:c>
      <x:c r="D15" s="301" t="str">
        <x:v>The reported Interest expense component is before the separately displayed capitalized-interest deduction and before interest income. TTM capitalized interest is 151M (125 + 82 − 56), shown only in the reconciliation. The coverage denominator stays 1,117M as reported; capitalized interest is not added to or subtracted from it again. See the detailed interest build for composition and limitations.</x:v>
      </x:c>
    </x:row>
    <x:row r="17">
      <x:c r="A17" s="13" t="str">
        <x:v>Method</x:v>
      </x:c>
      <x:c r="B17" s="226"/>
      <x:c r="C17" s="226"/>
      <x:c r="D17" s="14" t="str">
        <x:v>Explanation</x:v>
      </x:c>
    </x:row>
    <x:row r="18" ht="60" customHeight="1">
      <x:c r="A18" s="25" t="str">
        <x:v>Periods</x:v>
      </x:c>
      <x:c r="B18" s="212"/>
      <x:c r="C18" s="212"/>
      <x:c r="D18" s="16" t="str">
        <x:v>All cash-flow and interest ratios use the TTM above. FY + current YTD − prior YTD. Balance-sheet denominators use the period end, not average debt.</x:v>
      </x:c>
    </x:row>
    <x:row r="19" ht="145" customHeight="1">
      <x:c r="A19" s="25" t="str">
        <x:v>Historical interest basis</x:v>
      </x:c>
      <x:c r="B19" s="212"/>
      <x:c r="C19" s="212"/>
      <x:c r="D19" s="16" t="str">
        <x:v>The reported Interest expense component is before the separately displayed capitalized-interest deduction and before interest income. TTM capitalized interest is 151M (125 + 82 − 56), shown only in the reconciliation. The coverage denominator stays 1,117M as reported; capitalized interest is not added to or subtracted from it again. Historical accrual earnings coverage, not cash interest coverage, future repayment coverage, covenant headroom or drawable capacity. The numerator is reported consolidated operating income without adjusted earnings addbacks; it retains reported operating and commodity-hedge effects. The interest component is not a fully verified allocation of all borrowing and Nuveen costs. Cash swap settlements and a fully reconciled all-in financing-cost measure remain Unavailable.</x:v>
      </x:c>
    </x:row>
    <x:row r="20" ht="60" customHeight="1">
      <x:c r="A20" s="25" t="str">
        <x:v>Recalculation</x:v>
      </x:c>
      <x:c r="B20" s="212"/>
      <x:c r="C20" s="212"/>
      <x:c r="D20" s="16" t="str">
        <x:v>The historical interest ratio links to its existing detailed build. Editing source inputs updates formulas; the checked narrative requires a new review.</x:v>
      </x:c>
    </x:row>
    <x:row r="21" ht="72" customHeight="1">
      <x:c r="A21" s="26" t="str">
        <x:v>Interpretation</x:v>
      </x:c>
      <x:c r="B21" s="213"/>
      <x:c r="C21" s="213"/>
      <x:c r="D21" s="18" t="str">
        <x:v>Negative FCF and negative net debt are retained. Historical ratios do not establish future cash available, covenant compliance or funding coverage. Different company bases are not a ranking.</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43" hidden="0" customWidth="1"/>
    <x:col min="2" max="2" width="29" hidden="0" customWidth="1"/>
    <x:col min="3" max="3" width="29" hidden="0" customWidth="1"/>
    <x:col min="4" max="4" width="85" hidden="0" customWidth="1"/>
  </x:cols>
  <x:sheetData>
    <x:row r="1">
      <x:c r="A1" s="4"/>
      <x:c r="B1" s="4"/>
      <x:c r="C1" s="4"/>
      <x:c r="D1" s="4"/>
    </x:row>
    <x:row r="2">
      <x:c r="A2" s="7" t="str">
        <x:v>Vistra Corp. — dated history</x:v>
      </x:c>
      <x:c r="B2" s="4"/>
      <x:c r="C2" s="4"/>
      <x:c r="D2" s="4"/>
    </x:row>
    <x:row r="3">
      <x:c r="A3" s="8" t="str">
        <x:v>USD millions unless x or %. Fiscal year and later TTM both span twelve months and overlap.</x:v>
      </x:c>
      <x:c r="B3" s="4"/>
      <x:c r="C3" s="4"/>
      <x:c r="D3" s="4"/>
    </x:row>
    <x:row r="4">
      <x:c r="A4" s="4"/>
      <x:c r="B4" s="4"/>
      <x:c r="C4" s="4"/>
      <x:c r="D4" s="4"/>
    </x:row>
    <x:row r="5" ht="32" customHeight="1">
      <x:c r="A5" s="13" t="str">
        <x:v>Measure</x:v>
      </x:c>
      <x:c r="B5" s="226" t="str">
        <x:v>As of / FY ended 2025-12-31</x:v>
      </x:c>
      <x:c r="C5" s="226" t="str">
        <x:v>As of / TTM ended 2026-06-30</x:v>
      </x:c>
      <x:c r="D5" s="14" t="str">
        <x:v>Basis / limits</x:v>
      </x:c>
    </x:row>
    <x:row r="6" ht="45" customHeight="1">
      <x:c r="A6" s="25" t="str">
        <x:v>Cash and cash equivalents</x:v>
      </x:c>
      <x:c r="B6" s="248" t="n">
        <x:f>IF(ISNUMBER('Data'!B158),'Data'!B158,NA())</x:f>
        <x:v>785000000</x:v>
      </x:c>
      <x:c r="C6" s="248" t="n">
        <x:f>'Debt and liquidity'!B6</x:f>
        <x:v>435000000</x:v>
      </x:c>
      <x:c r="D6" s="16" t="str">
        <x:v>Cash and cash equivalents excluding restricted cash. Investments are not substituted.</x:v>
      </x:c>
    </x:row>
    <x:row r="7" ht="45" customHeight="1">
      <x:c r="A7" s="25" t="str">
        <x:v>Baseline gross debt</x:v>
      </x:c>
      <x:c r="B7" s="253" t="str">
        <x:v>Unavailable</x:v>
      </x:c>
      <x:c r="C7" s="248" t="n">
        <x:f>'Debt and liquidity'!B7</x:f>
        <x:v>19895000000</x:v>
      </x:c>
      <x:c r="D7" s="16" t="str">
        <x:v>Older borrowing presentation was not checked; older net debt and flow/debt ratios are also Unavailable.</x:v>
      </x:c>
    </x:row>
    <x:row r="8" ht="45" customHeight="1">
      <x:c r="A8" s="25" t="str">
        <x:v>Net debt</x:v>
      </x:c>
      <x:c r="B8" s="253" t="str">
        <x:v>Unavailable</x:v>
      </x:c>
      <x:c r="C8" s="248" t="n">
        <x:f>'Debt and liquidity'!B8</x:f>
        <x:v>19460000000</x:v>
      </x:c>
      <x:c r="D8" s="16" t="str">
        <x:v>Older borrowing presentation was not checked; older net debt and flow/debt ratios are also Unavailable.</x:v>
      </x:c>
    </x:row>
    <x:row r="9" ht="49" customHeight="1">
      <x:c r="A9" s="25" t="str">
        <x:v>Current ratio</x:v>
      </x:c>
      <x:c r="B9" s="294" t="n">
        <x:f>IF(IF(ISNUMBER('Data'!B160),'Data'!B160,NA())&gt;0,IF(ISNUMBER('Data'!B159),'Data'!B159,NA())/IF(ISNUMBER('Data'!B160),'Data'!B160,NA()),NA())</x:f>
        <x:v>0.7769595395293719</x:v>
      </x:c>
      <x:c r="C9" s="294" t="n">
        <x:f>'Debt and liquidity'!B9</x:f>
        <x:v>0.9733825897508762</x:v>
      </x:c>
      <x:c r="D9" s="16" t="str">
        <x:v>Total current assets / total current liabilities from one balance sheet. Liabilities include more than borrowing; assets include more than cash.</x:v>
      </x:c>
    </x:row>
    <x:row r="10" ht="49" customHeight="1">
      <x:c r="A10" s="25" t="str">
        <x:v>Operating cash flow</x:v>
      </x:c>
      <x:c r="B10" s="248" t="n">
        <x:f>IF(ISNUMBER('Data'!B161),'Data'!B161,NA())</x:f>
        <x:v>4070000000</x:v>
      </x:c>
      <x:c r="C10" s="248" t="n">
        <x:f>'Debt and liquidity'!B10</x:f>
        <x:v>5121000000</x:v>
      </x:c>
      <x:c r="D10" s="16" t="str">
        <x:v>Annual column: reported fiscal-year OCF. Latest column only: Reported historical OCF; recurrence is not established. Uses FY + current YTD - prior YTD.</x:v>
      </x:c>
    </x:row>
    <x:row r="11" ht="49" customHeight="1">
      <x:c r="A11" s="25" t="str">
        <x:v>Capital expenditures, including nuclear fuel and LTSA prepayments</x:v>
      </x:c>
      <x:c r="B11" s="248" t="n">
        <x:f>IF(ISNUMBER('Data'!B162),'Data'!B162,NA())</x:f>
        <x:v>2752000000</x:v>
      </x:c>
      <x:c r="C11" s="248" t="n">
        <x:f>'Debt and liquidity'!B11</x:f>
        <x:v>2866000000</x:v>
      </x:c>
      <x:c r="D11" s="16" t="str">
        <x:v>The reported capex line includes nuclear fuel purchases and long-term service agreement (LTSA) prepayments. It is used as reported; acquisitions and other investing cash flows are excluded.</x:v>
      </x:c>
    </x:row>
    <x:row r="12" ht="45" customHeight="1">
      <x:c r="A12" s="25" t="str">
        <x:v>Free cash flow</x:v>
      </x:c>
      <x:c r="B12" s="253" t="n">
        <x:f>B10-B11</x:f>
        <x:v>1318000000</x:v>
      </x:c>
      <x:c r="C12" s="248" t="n">
        <x:f>'Debt and liquidity'!B12</x:f>
        <x:v>2255000000</x:v>
      </x:c>
      <x:c r="D12" s="16" t="str">
        <x:v>OCF less reported capital spending. Uses the spending basis above; excludes acquisitions, dividends and other cash uses.</x:v>
      </x:c>
    </x:row>
    <x:row r="13" ht="45" customHeight="1">
      <x:c r="A13" s="25" t="str">
        <x:v>Operating cash flow / debt</x:v>
      </x:c>
      <x:c r="B13" s="295" t="str">
        <x:v>Unavailable</x:v>
      </x:c>
      <x:c r="C13" s="307" t="n">
        <x:f>'Debt and liquidity'!B13</x:f>
        <x:v>0.25740135712490575</x:v>
      </x:c>
      <x:c r="D13" s="16" t="str">
        <x:v>Older borrowing presentation was not checked; older net debt and flow/debt ratios are also Unavailable.</x:v>
      </x:c>
    </x:row>
    <x:row r="14" ht="45" customHeight="1">
      <x:c r="A14" s="25" t="str">
        <x:v>Free cash flow / debt</x:v>
      </x:c>
      <x:c r="B14" s="295" t="str">
        <x:v>Unavailable</x:v>
      </x:c>
      <x:c r="C14" s="307" t="n">
        <x:f>'Debt and liquidity'!B14</x:f>
        <x:v>0.11334506157325962</x:v>
      </x:c>
      <x:c r="D14" s="16" t="str">
        <x:v>Older borrowing presentation was not checked; older net debt and flow/debt ratios are also Unavailable.</x:v>
      </x:c>
    </x:row>
    <x:row r="15" ht="49" customHeight="1">
      <x:c r="A15" s="26" t="str">
        <x:v>Historical interest coverage</x:v>
      </x:c>
      <x:c r="B15" s="296" t="n">
        <x:f>IF(AND('Cash review'!B57&gt;0,'Cash review'!B65=0),'Cash review'!B56/'Cash review'!B57,NA())</x:f>
        <x:v>1.7217705510388437</x:v>
      </x:c>
      <x:c r="C15" s="296" t="n">
        <x:f>'Debt and liquidity'!B15</x:f>
        <x:v>3.189794091316025</x:v>
      </x:c>
      <x:c r="D15" s="18" t="str">
        <x:v>Annual and later TTM use the separate interest component before the capitalized-interest deduction; swaps and extinguishment effects are not added to the denominator.</x:v>
      </x:c>
    </x:row>
    <x:row r="16">
      <x:c r="A16" s="4"/>
      <x:c r="B16" s="4"/>
      <x:c r="C16" s="4"/>
      <x:c r="D16" s="4"/>
    </x:row>
    <x:row r="17" ht="70" customHeight="1">
      <x:c r="A17" s="4" t="str">
        <x:v>Period definitions</x:v>
      </x:c>
      <x:c r="B17" s="4"/>
      <x:c r="C17" s="4"/>
      <x:c r="D17" s="4" t="str">
        <x:v>Balance-sheet figures compare the stated dates. Flows and interest coverage compare a fiscal year with a later TTM: both span twelve months and overlap. No interim annualization, independent-period growth rate or future repayment coverage is inferred.</x:v>
      </x:c>
    </x:row>
    <x:row r="18">
      <x:c r="A18" s="4" t="str">
        <x:v>Fiscal-year flows</x:v>
      </x:c>
      <x:c r="B18" s="4"/>
      <x:c r="C18" s="4"/>
      <x:c r="D18" s="4" t="str">
        <x:v>2025-01-01 to 2025-12-31</x:v>
      </x:c>
    </x:row>
    <x:row r="19">
      <x:c r="A19" s="4" t="str">
        <x:v>Later TTM flows</x:v>
      </x:c>
      <x:c r="B19" s="4"/>
      <x:c r="C19" s="4"/>
      <x:c r="D19" s="4" t="str">
        <x:v>2025-07-01 to 2026-06-30</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4" hidden="0" customWidth="1"/>
    <x:col min="2" max="2" width="23" hidden="0" customWidth="1"/>
    <x:col min="3" max="3" width="23" hidden="0" customWidth="1"/>
    <x:col min="4" max="4" width="24" hidden="0" customWidth="1"/>
    <x:col min="5" max="5" width="3" hidden="0" customWidth="1"/>
    <x:col min="6" max="6" width="10" hidden="0" customWidth="1"/>
    <x:col min="7" max="7" width="10" hidden="0" customWidth="1"/>
    <x:col min="8" max="8" width="10" hidden="0" customWidth="1"/>
    <x:col min="9" max="9" width="10" hidden="0" customWidth="1"/>
    <x:col min="10" max="10" width="10" hidden="0" customWidth="1"/>
    <x:col min="11" max="11" width="10" hidden="0" customWidth="1"/>
    <x:col min="12" max="12" width="10" hidden="0" customWidth="1"/>
    <x:col min="13" max="13" width="10" hidden="0" customWidth="1"/>
    <x:col min="14" max="14" width="10" hidden="0" customWidth="1"/>
    <x:col min="15" max="15" width="10" hidden="0" customWidth="1"/>
  </x:cols>
  <x:sheetData>
    <x:row r="1" ht="35" customHeight="1">
      <x:c r="A1" s="4"/>
      <x:c r="B1" s="4"/>
      <x:c r="C1" s="4"/>
      <x:c r="D1" s="4"/>
      <x:c r="E1" s="2"/>
      <x:c r="F1" s="2"/>
      <x:c r="G1" s="2"/>
      <x:c r="H1" s="2"/>
      <x:c r="I1" s="2"/>
      <x:c r="J1" s="2"/>
      <x:c r="K1" s="2"/>
      <x:c r="L1" s="2"/>
      <x:c r="M1" s="2"/>
      <x:c r="N1" s="2"/>
      <x:c r="O1" s="2"/>
    </x:row>
    <x:row r="2" ht="35" customHeight="1">
      <x:c r="A2" s="7" t="str">
        <x:v>VST — two chart questions</x:v>
      </x:c>
      <x:c r="B2" s="4"/>
      <x:c r="C2" s="4"/>
      <x:c r="D2" s="4"/>
      <x:c r="E2" s="2"/>
      <x:c r="F2" s="2"/>
      <x:c r="G2" s="2"/>
      <x:c r="H2" s="2"/>
      <x:c r="I2" s="2"/>
      <x:c r="J2" s="2"/>
      <x:c r="K2" s="2"/>
      <x:c r="L2" s="2"/>
      <x:c r="M2" s="2"/>
      <x:c r="N2" s="2"/>
      <x:c r="O2" s="2"/>
    </x:row>
    <x:row r="3" ht="35" customHeight="1">
      <x:c r="A3" s="8" t="str">
        <x:v>TTM 2025-07-01 to 2026-06-30. Values stored in USD, displayed in millions.</x:v>
      </x:c>
      <x:c r="B3" s="4"/>
      <x:c r="C3" s="4"/>
      <x:c r="D3" s="4"/>
      <x:c r="E3" s="2"/>
      <x:c r="F3" s="2"/>
      <x:c r="G3" s="2"/>
      <x:c r="H3" s="2"/>
      <x:c r="I3" s="2"/>
      <x:c r="J3" s="2"/>
      <x:c r="K3" s="2"/>
      <x:c r="L3" s="2"/>
      <x:c r="M3" s="2"/>
      <x:c r="N3" s="2"/>
      <x:c r="O3" s="2"/>
    </x:row>
    <x:row r="4" ht="35" customHeight="1">
      <x:c r="A4" s="4"/>
      <x:c r="B4" s="4"/>
      <x:c r="C4" s="4"/>
      <x:c r="D4" s="4"/>
      <x:c r="E4" s="2"/>
      <x:c r="F4" s="2"/>
      <x:c r="G4" s="2"/>
      <x:c r="H4" s="2"/>
      <x:c r="I4" s="2"/>
      <x:c r="J4" s="2"/>
      <x:c r="K4" s="2"/>
      <x:c r="L4" s="2"/>
      <x:c r="M4" s="2"/>
      <x:c r="N4" s="2"/>
      <x:c r="O4" s="2"/>
    </x:row>
    <x:row r="5" ht="35" customHeight="1">
      <x:c r="A5" s="13" t="str">
        <x:v>TTM measure</x:v>
      </x:c>
      <x:c r="B5" s="14" t="str">
        <x:v>USD millions</x:v>
      </x:c>
      <x:c r="C5" s="4"/>
      <x:c r="D5" s="4"/>
      <x:c r="E5" s="2"/>
      <x:c r="F5" s="2"/>
      <x:c r="G5" s="2"/>
      <x:c r="H5" s="2"/>
      <x:c r="I5" s="2"/>
      <x:c r="J5" s="2"/>
      <x:c r="K5" s="2"/>
      <x:c r="L5" s="2"/>
      <x:c r="M5" s="2"/>
      <x:c r="N5" s="2"/>
      <x:c r="O5" s="2"/>
    </x:row>
    <x:row r="6" ht="35" customHeight="1">
      <x:c r="A6" s="25" t="str">
        <x:v>Operating cash flow</x:v>
      </x:c>
      <x:c r="B6" s="312" t="n">
        <x:f>'Debt and liquidity'!B10</x:f>
        <x:v>5121000000</x:v>
      </x:c>
      <x:c r="C6" s="4"/>
      <x:c r="D6" s="4"/>
      <x:c r="E6" s="2"/>
      <x:c r="F6" s="2"/>
      <x:c r="G6" s="2"/>
      <x:c r="H6" s="2"/>
      <x:c r="I6" s="2"/>
      <x:c r="J6" s="2"/>
      <x:c r="K6" s="2"/>
      <x:c r="L6" s="2"/>
      <x:c r="M6" s="2"/>
      <x:c r="N6" s="2"/>
      <x:c r="O6" s="2"/>
    </x:row>
    <x:row r="7" ht="35" customHeight="1">
      <x:c r="A7" s="25" t="str">
        <x:v>Capital spending</x:v>
      </x:c>
      <x:c r="B7" s="312" t="n">
        <x:f>-'Debt and liquidity'!B11</x:f>
        <x:v>-2866000000</x:v>
      </x:c>
      <x:c r="C7" s="4"/>
      <x:c r="D7" s="4"/>
      <x:c r="E7" s="2"/>
      <x:c r="F7" s="2"/>
      <x:c r="G7" s="2"/>
      <x:c r="H7" s="2"/>
      <x:c r="I7" s="2"/>
      <x:c r="J7" s="2"/>
      <x:c r="K7" s="2"/>
      <x:c r="L7" s="2"/>
      <x:c r="M7" s="2"/>
      <x:c r="N7" s="2"/>
      <x:c r="O7" s="2"/>
    </x:row>
    <x:row r="8" ht="35" customHeight="1">
      <x:c r="A8" s="26" t="str">
        <x:v>Free cash flow</x:v>
      </x:c>
      <x:c r="B8" s="313" t="n">
        <x:f>'Debt and liquidity'!B12</x:f>
        <x:v>2255000000</x:v>
      </x:c>
      <x:c r="C8" s="4"/>
      <x:c r="D8" s="4"/>
      <x:c r="E8" s="2"/>
      <x:c r="F8" s="2"/>
      <x:c r="G8" s="2"/>
      <x:c r="H8" s="2"/>
      <x:c r="I8" s="2"/>
      <x:c r="J8" s="2"/>
      <x:c r="K8" s="2"/>
      <x:c r="L8" s="2"/>
      <x:c r="M8" s="2"/>
      <x:c r="N8" s="2"/>
      <x:c r="O8" s="2"/>
    </x:row>
    <x:row r="9" ht="35" customHeight="1">
      <x:c r="A9" s="4"/>
      <x:c r="B9" s="4"/>
      <x:c r="C9" s="4"/>
      <x:c r="D9" s="4"/>
      <x:c r="E9" s="2"/>
      <x:c r="F9" s="2"/>
      <x:c r="G9" s="2"/>
      <x:c r="H9" s="2"/>
      <x:c r="I9" s="2"/>
      <x:c r="J9" s="2"/>
      <x:c r="K9" s="2"/>
      <x:c r="L9" s="2"/>
      <x:c r="M9" s="2"/>
      <x:c r="N9" s="2"/>
      <x:c r="O9" s="2"/>
    </x:row>
    <x:row r="10" ht="80" customHeight="1">
      <x:c r="A10" s="4" t="str">
        <x:v>Calculation basis</x:v>
      </x:c>
      <x:c r="B10" s="4"/>
      <x:c r="C10" s="4"/>
      <x:c r="D10" s="4" t="str">
        <x:v>FCF = OCF − capital spending. FCF is a result, not an additional cash flow. Capital spending is shown negative.</x:v>
      </x:c>
      <x:c r="E10" s="2"/>
      <x:c r="F10" s="2"/>
      <x:c r="G10" s="2"/>
      <x:c r="H10" s="2"/>
      <x:c r="I10" s="2"/>
      <x:c r="J10" s="2"/>
      <x:c r="K10" s="2"/>
      <x:c r="L10" s="2"/>
      <x:c r="M10" s="2"/>
      <x:c r="N10" s="2"/>
      <x:c r="O10" s="2"/>
    </x:row>
    <x:row r="11" ht="35" customHeight="1">
      <x:c r="A11" s="4"/>
      <x:c r="B11" s="4"/>
      <x:c r="C11" s="4"/>
      <x:c r="D11" s="4"/>
      <x:c r="E11" s="2"/>
      <x:c r="F11" s="2"/>
      <x:c r="G11" s="2"/>
      <x:c r="H11" s="2"/>
      <x:c r="I11" s="2"/>
      <x:c r="J11" s="2"/>
      <x:c r="K11" s="2"/>
      <x:c r="L11" s="2"/>
      <x:c r="M11" s="2"/>
      <x:c r="N11" s="2"/>
      <x:c r="O11" s="2"/>
    </x:row>
    <x:row r="12" ht="35" customHeight="1">
      <x:c r="A12" s="4"/>
      <x:c r="B12" s="4"/>
      <x:c r="C12" s="4"/>
      <x:c r="D12" s="4"/>
      <x:c r="E12" s="2"/>
      <x:c r="F12" s="2"/>
      <x:c r="G12" s="2"/>
      <x:c r="H12" s="2"/>
      <x:c r="I12" s="2"/>
      <x:c r="J12" s="2"/>
      <x:c r="K12" s="2"/>
      <x:c r="L12" s="2"/>
      <x:c r="M12" s="2"/>
      <x:c r="N12" s="2"/>
      <x:c r="O12" s="2"/>
    </x:row>
    <x:row r="13" ht="35" customHeight="1">
      <x:c r="A13" s="4"/>
      <x:c r="B13" s="4"/>
      <x:c r="C13" s="4"/>
      <x:c r="D13" s="4"/>
      <x:c r="E13" s="2"/>
      <x:c r="F13" s="2"/>
      <x:c r="G13" s="2"/>
      <x:c r="H13" s="2"/>
      <x:c r="I13" s="2"/>
      <x:c r="J13" s="2"/>
      <x:c r="K13" s="2"/>
      <x:c r="L13" s="2"/>
      <x:c r="M13" s="2"/>
      <x:c r="N13" s="2"/>
      <x:c r="O13" s="2"/>
    </x:row>
    <x:row r="14" ht="35" customHeight="1">
      <x:c r="A14" s="4"/>
      <x:c r="B14" s="4"/>
      <x:c r="C14" s="4"/>
      <x:c r="D14" s="4"/>
      <x:c r="E14" s="2"/>
      <x:c r="F14" s="2"/>
      <x:c r="G14" s="2"/>
      <x:c r="H14" s="2"/>
      <x:c r="I14" s="2"/>
      <x:c r="J14" s="2"/>
      <x:c r="K14" s="2"/>
      <x:c r="L14" s="2"/>
      <x:c r="M14" s="2"/>
      <x:c r="N14" s="2"/>
      <x:c r="O14" s="2"/>
    </x:row>
    <x:row r="15" ht="35" customHeight="1">
      <x:c r="A15" s="4"/>
      <x:c r="B15" s="4"/>
      <x:c r="C15" s="4"/>
      <x:c r="D15" s="4"/>
      <x:c r="E15" s="2"/>
      <x:c r="F15" s="2"/>
      <x:c r="G15" s="2"/>
      <x:c r="H15" s="2"/>
      <x:c r="I15" s="2"/>
      <x:c r="J15" s="2"/>
      <x:c r="K15" s="2"/>
      <x:c r="L15" s="2"/>
      <x:c r="M15" s="2"/>
      <x:c r="N15" s="2"/>
      <x:c r="O15" s="2"/>
    </x:row>
    <x:row r="16" ht="35" customHeight="1">
      <x:c r="A16" s="4"/>
      <x:c r="B16" s="4"/>
      <x:c r="C16" s="4"/>
      <x:c r="D16" s="4"/>
      <x:c r="E16" s="2"/>
      <x:c r="F16" s="2"/>
      <x:c r="G16" s="2"/>
      <x:c r="H16" s="2"/>
      <x:c r="I16" s="2"/>
      <x:c r="J16" s="2"/>
      <x:c r="K16" s="2"/>
      <x:c r="L16" s="2"/>
      <x:c r="M16" s="2"/>
      <x:c r="N16" s="2"/>
      <x:c r="O16" s="2"/>
    </x:row>
    <x:row r="17" ht="35" customHeight="1">
      <x:c r="A17" s="4"/>
      <x:c r="B17" s="4"/>
      <x:c r="C17" s="4"/>
      <x:c r="D17" s="4"/>
      <x:c r="E17" s="2"/>
      <x:c r="F17" s="2"/>
      <x:c r="G17" s="2"/>
      <x:c r="H17" s="2"/>
      <x:c r="I17" s="2"/>
      <x:c r="J17" s="2"/>
      <x:c r="K17" s="2"/>
      <x:c r="L17" s="2"/>
      <x:c r="M17" s="2"/>
      <x:c r="N17" s="2"/>
      <x:c r="O17" s="2"/>
    </x:row>
    <x:row r="18" ht="35" customHeight="1">
      <x:c r="A18" s="4"/>
      <x:c r="B18" s="4"/>
      <x:c r="C18" s="4"/>
      <x:c r="D18" s="4"/>
      <x:c r="E18" s="2"/>
      <x:c r="F18" s="2"/>
      <x:c r="G18" s="2"/>
      <x:c r="H18" s="2"/>
      <x:c r="I18" s="2"/>
      <x:c r="J18" s="2"/>
      <x:c r="K18" s="2"/>
      <x:c r="L18" s="2"/>
      <x:c r="M18" s="2"/>
      <x:c r="N18" s="2"/>
      <x:c r="O18" s="2"/>
    </x:row>
    <x:row r="19" ht="35" customHeight="1">
      <x:c r="A19" s="4"/>
      <x:c r="B19" s="4"/>
      <x:c r="C19" s="4"/>
      <x:c r="D19" s="4"/>
      <x:c r="E19" s="2"/>
      <x:c r="F19" s="2"/>
      <x:c r="G19" s="2"/>
      <x:c r="H19" s="2"/>
      <x:c r="I19" s="2"/>
      <x:c r="J19" s="2"/>
      <x:c r="K19" s="2"/>
      <x:c r="L19" s="2"/>
      <x:c r="M19" s="2"/>
      <x:c r="N19" s="2"/>
      <x:c r="O19" s="2"/>
    </x:row>
    <x:row r="20" ht="35" customHeight="1">
      <x:c r="A20" s="4"/>
      <x:c r="B20" s="4"/>
      <x:c r="C20" s="4"/>
      <x:c r="D20" s="4"/>
      <x:c r="E20" s="2"/>
      <x:c r="F20" s="2"/>
      <x:c r="G20" s="2"/>
      <x:c r="H20" s="2"/>
      <x:c r="I20" s="2"/>
      <x:c r="J20" s="2"/>
      <x:c r="K20" s="2"/>
      <x:c r="L20" s="2"/>
      <x:c r="M20" s="2"/>
      <x:c r="N20" s="2"/>
      <x:c r="O20" s="2"/>
    </x:row>
    <x:row r="21" ht="35" customHeight="1">
      <x:c r="A21" s="4"/>
      <x:c r="B21" s="4"/>
      <x:c r="C21" s="4"/>
      <x:c r="D21" s="4"/>
      <x:c r="E21" s="2"/>
      <x:c r="F21" s="2"/>
      <x:c r="G21" s="2"/>
      <x:c r="H21" s="2"/>
      <x:c r="I21" s="2"/>
      <x:c r="J21" s="2"/>
      <x:c r="K21" s="2"/>
      <x:c r="L21" s="2"/>
      <x:c r="M21" s="2"/>
      <x:c r="N21" s="2"/>
      <x:c r="O21" s="2"/>
    </x:row>
    <x:row r="22" ht="35" customHeight="1">
      <x:c r="A22" s="4"/>
      <x:c r="B22" s="4"/>
      <x:c r="C22" s="4"/>
      <x:c r="D22" s="4"/>
      <x:c r="E22" s="2"/>
      <x:c r="F22" s="2"/>
      <x:c r="G22" s="2"/>
      <x:c r="H22" s="2"/>
      <x:c r="I22" s="2"/>
      <x:c r="J22" s="2"/>
      <x:c r="K22" s="2"/>
      <x:c r="L22" s="2"/>
      <x:c r="M22" s="2"/>
      <x:c r="N22" s="2"/>
      <x:c r="O22" s="2"/>
    </x:row>
    <x:row r="23" ht="35" customHeight="1">
      <x:c r="A23" s="4"/>
      <x:c r="B23" s="4"/>
      <x:c r="C23" s="4"/>
      <x:c r="D23" s="4"/>
      <x:c r="E23" s="2"/>
      <x:c r="F23" s="2"/>
      <x:c r="G23" s="2"/>
      <x:c r="H23" s="2"/>
      <x:c r="I23" s="2"/>
      <x:c r="J23" s="2"/>
      <x:c r="K23" s="2"/>
      <x:c r="L23" s="2"/>
      <x:c r="M23" s="2"/>
      <x:c r="N23" s="2"/>
      <x:c r="O23" s="2"/>
    </x:row>
    <x:row r="24" ht="35" customHeight="1">
      <x:c r="A24" s="13" t="str">
        <x:v>Balance-sheet date</x:v>
      </x:c>
      <x:c r="B24" s="14" t="str">
        <x:v>Cash and equivalents</x:v>
      </x:c>
      <x:c r="C24" s="4"/>
      <x:c r="D24" s="4"/>
      <x:c r="E24" s="2"/>
      <x:c r="F24" s="2"/>
      <x:c r="G24" s="2"/>
      <x:c r="H24" s="2"/>
      <x:c r="I24" s="2"/>
      <x:c r="J24" s="2"/>
      <x:c r="K24" s="2"/>
      <x:c r="L24" s="2"/>
      <x:c r="M24" s="2"/>
      <x:c r="N24" s="2"/>
      <x:c r="O24" s="2"/>
    </x:row>
    <x:row r="25" ht="35" customHeight="1">
      <x:c r="A25" s="25" t="str">
        <x:v>2025-12-31</x:v>
      </x:c>
      <x:c r="B25" s="312" t="n">
        <x:f>'History'!B6</x:f>
        <x:v>785000000</x:v>
      </x:c>
      <x:c r="C25" s="238"/>
      <x:c r="D25" s="4"/>
      <x:c r="E25" s="2"/>
      <x:c r="F25" s="2"/>
      <x:c r="G25" s="2"/>
      <x:c r="H25" s="2"/>
      <x:c r="I25" s="2"/>
      <x:c r="J25" s="2"/>
      <x:c r="K25" s="2"/>
      <x:c r="L25" s="2"/>
      <x:c r="M25" s="2"/>
      <x:c r="N25" s="2"/>
      <x:c r="O25" s="2"/>
    </x:row>
    <x:row r="26" ht="35" customHeight="1">
      <x:c r="A26" s="26" t="str">
        <x:v>2026-06-30</x:v>
      </x:c>
      <x:c r="B26" s="313" t="n">
        <x:f>'History'!C6</x:f>
        <x:v>435000000</x:v>
      </x:c>
      <x:c r="C26" s="238"/>
      <x:c r="D26" s="4"/>
      <x:c r="E26" s="2"/>
      <x:c r="F26" s="2"/>
      <x:c r="G26" s="2"/>
      <x:c r="H26" s="2"/>
      <x:c r="I26" s="2"/>
      <x:c r="J26" s="2"/>
      <x:c r="K26" s="2"/>
      <x:c r="L26" s="2"/>
      <x:c r="M26" s="2"/>
      <x:c r="N26" s="2"/>
      <x:c r="O26" s="2"/>
    </x:row>
    <x:row r="27" ht="35" customHeight="1">
      <x:c r="A27" s="4"/>
      <x:c r="B27" s="4"/>
      <x:c r="C27" s="4"/>
      <x:c r="D27" s="4"/>
      <x:c r="E27" s="2"/>
      <x:c r="F27" s="2"/>
      <x:c r="G27" s="2"/>
      <x:c r="H27" s="2"/>
      <x:c r="I27" s="2"/>
      <x:c r="J27" s="2"/>
      <x:c r="K27" s="2"/>
      <x:c r="L27" s="2"/>
      <x:c r="M27" s="2"/>
      <x:c r="N27" s="2"/>
      <x:c r="O27" s="2"/>
    </x:row>
    <x:row r="28" ht="35" customHeight="1">
      <x:c r="A28" s="4"/>
      <x:c r="B28" s="4"/>
      <x:c r="C28" s="4"/>
      <x:c r="D28" s="4"/>
      <x:c r="E28" s="2"/>
      <x:c r="F28" s="2"/>
      <x:c r="G28" s="2"/>
      <x:c r="H28" s="2"/>
      <x:c r="I28" s="2"/>
      <x:c r="J28" s="2"/>
      <x:c r="K28" s="2"/>
      <x:c r="L28" s="2"/>
      <x:c r="M28" s="2"/>
      <x:c r="N28" s="2"/>
      <x:c r="O28" s="2"/>
    </x:row>
    <x:row r="29" ht="95" customHeight="1">
      <x:c r="A29" s="4" t="str">
        <x:v>Scope / missing history</x:v>
      </x:c>
      <x:c r="B29" s="4"/>
      <x:c r="C29" s="4"/>
      <x:c r="D29" s="4" t="str">
        <x:v>Older borrowing is Unavailable, so this chart compares cash only. No zero borrowing value or debt trend is inferred. Cash excludes restricted cash and investments.</x:v>
      </x:c>
      <x:c r="E29" s="2"/>
      <x:c r="F29" s="2"/>
      <x:c r="G29" s="2"/>
      <x:c r="H29" s="2"/>
      <x:c r="I29" s="2"/>
      <x:c r="J29" s="2"/>
      <x:c r="K29" s="2"/>
      <x:c r="L29" s="2"/>
      <x:c r="M29" s="2"/>
      <x:c r="N29" s="2"/>
      <x:c r="O29" s="2"/>
    </x:row>
    <x:row r="30" ht="35" customHeight="1">
      <x:c r="A30" s="4"/>
      <x:c r="B30" s="4"/>
      <x:c r="C30" s="4"/>
      <x:c r="D30" s="4"/>
      <x:c r="E30" s="2"/>
      <x:c r="F30" s="2"/>
      <x:c r="G30" s="2"/>
      <x:c r="H30" s="2"/>
      <x:c r="I30" s="2"/>
      <x:c r="J30" s="2"/>
      <x:c r="K30" s="2"/>
      <x:c r="L30" s="2"/>
      <x:c r="M30" s="2"/>
      <x:c r="N30" s="2"/>
      <x:c r="O30" s="2"/>
    </x:row>
    <x:row r="31" ht="35" customHeight="1">
      <x:c r="A31" s="4"/>
      <x:c r="B31" s="4"/>
      <x:c r="C31" s="4"/>
      <x:c r="D31" s="4"/>
      <x:c r="E31" s="2"/>
      <x:c r="F31" s="2"/>
      <x:c r="G31" s="2"/>
      <x:c r="H31" s="2"/>
      <x:c r="I31" s="2"/>
      <x:c r="J31" s="2"/>
      <x:c r="K31" s="2"/>
      <x:c r="L31" s="2"/>
      <x:c r="M31" s="2"/>
      <x:c r="N31" s="2"/>
      <x:c r="O31" s="2"/>
    </x:row>
    <x:row r="32" ht="35" customHeight="1">
      <x:c r="A32" s="4"/>
      <x:c r="B32" s="4"/>
      <x:c r="C32" s="4"/>
      <x:c r="D32" s="4"/>
      <x:c r="E32" s="2"/>
      <x:c r="F32" s="2"/>
      <x:c r="G32" s="2"/>
      <x:c r="H32" s="2"/>
      <x:c r="I32" s="2"/>
      <x:c r="J32" s="2"/>
      <x:c r="K32" s="2"/>
      <x:c r="L32" s="2"/>
      <x:c r="M32" s="2"/>
      <x:c r="N32" s="2"/>
      <x:c r="O32" s="2"/>
    </x:row>
    <x:row r="33" ht="35" customHeight="1">
      <x:c r="A33" s="4"/>
      <x:c r="B33" s="4"/>
      <x:c r="C33" s="4"/>
      <x:c r="D33" s="4"/>
      <x:c r="E33" s="2"/>
      <x:c r="F33" s="2"/>
      <x:c r="G33" s="2"/>
      <x:c r="H33" s="2"/>
      <x:c r="I33" s="2"/>
      <x:c r="J33" s="2"/>
      <x:c r="K33" s="2"/>
      <x:c r="L33" s="2"/>
      <x:c r="M33" s="2"/>
      <x:c r="N33" s="2"/>
      <x:c r="O33" s="2"/>
    </x:row>
    <x:row r="34" ht="35" customHeight="1">
      <x:c r="A34" s="4"/>
      <x:c r="B34" s="4"/>
      <x:c r="C34" s="4"/>
      <x:c r="D34" s="4"/>
      <x:c r="E34" s="2"/>
      <x:c r="F34" s="2"/>
      <x:c r="G34" s="2"/>
      <x:c r="H34" s="2"/>
      <x:c r="I34" s="2"/>
      <x:c r="J34" s="2"/>
      <x:c r="K34" s="2"/>
      <x:c r="L34" s="2"/>
      <x:c r="M34" s="2"/>
      <x:c r="N34" s="2"/>
      <x:c r="O34" s="2"/>
    </x:row>
    <x:row r="35" ht="35" customHeight="1">
      <x:c r="A35" s="4"/>
      <x:c r="B35" s="4"/>
      <x:c r="C35" s="4"/>
      <x:c r="D35" s="4"/>
      <x:c r="E35" s="2"/>
      <x:c r="F35" s="2"/>
      <x:c r="G35" s="2"/>
      <x:c r="H35" s="2"/>
      <x:c r="I35" s="2"/>
      <x:c r="J35" s="2"/>
      <x:c r="K35" s="2"/>
      <x:c r="L35" s="2"/>
      <x:c r="M35" s="2"/>
      <x:c r="N35" s="2"/>
      <x:c r="O35" s="2"/>
    </x:row>
    <x:row r="36" ht="35" customHeight="1">
      <x:c r="A36" s="4"/>
      <x:c r="B36" s="4"/>
      <x:c r="C36" s="4"/>
      <x:c r="D36" s="4"/>
      <x:c r="E36" s="2"/>
      <x:c r="F36" s="2"/>
      <x:c r="G36" s="2"/>
      <x:c r="H36" s="2"/>
      <x:c r="I36" s="2"/>
      <x:c r="J36" s="2"/>
      <x:c r="K36" s="2"/>
      <x:c r="L36" s="2"/>
      <x:c r="M36" s="2"/>
      <x:c r="N36" s="2"/>
      <x:c r="O36" s="2"/>
    </x:row>
    <x:row r="37" ht="35" customHeight="1">
      <x:c r="A37" s="4"/>
      <x:c r="B37" s="4"/>
      <x:c r="C37" s="4"/>
      <x:c r="D37" s="4"/>
      <x:c r="E37" s="2"/>
      <x:c r="F37" s="2"/>
      <x:c r="G37" s="2"/>
      <x:c r="H37" s="2"/>
      <x:c r="I37" s="2"/>
      <x:c r="J37" s="2"/>
      <x:c r="K37" s="2"/>
      <x:c r="L37" s="2"/>
      <x:c r="M37" s="2"/>
      <x:c r="N37" s="2"/>
      <x:c r="O37" s="2"/>
    </x:row>
    <x:row r="38" ht="35" customHeight="1">
      <x:c r="A38" s="4"/>
      <x:c r="B38" s="4"/>
      <x:c r="C38" s="4"/>
      <x:c r="D38" s="4"/>
      <x:c r="E38" s="2"/>
      <x:c r="F38" s="2"/>
      <x:c r="G38" s="2"/>
      <x:c r="H38" s="2"/>
      <x:c r="I38" s="2"/>
      <x:c r="J38" s="2"/>
      <x:c r="K38" s="2"/>
      <x:c r="L38" s="2"/>
      <x:c r="M38" s="2"/>
      <x:c r="N38" s="2"/>
      <x:c r="O38" s="2"/>
    </x:row>
    <x:row r="39" ht="35" customHeight="1">
      <x:c r="A39" s="4"/>
      <x:c r="B39" s="4"/>
      <x:c r="C39" s="4"/>
      <x:c r="D39" s="4"/>
      <x:c r="E39" s="2"/>
      <x:c r="F39" s="2"/>
      <x:c r="G39" s="2"/>
      <x:c r="H39" s="2"/>
      <x:c r="I39" s="2"/>
      <x:c r="J39" s="2"/>
      <x:c r="K39" s="2"/>
      <x:c r="L39" s="2"/>
      <x:c r="M39" s="2"/>
      <x:c r="N39" s="2"/>
      <x:c r="O39" s="2"/>
    </x:row>
    <x:row r="40" ht="35" customHeight="1">
      <x:c r="A40" s="4"/>
      <x:c r="B40" s="4"/>
      <x:c r="C40" s="4"/>
      <x:c r="D40" s="4"/>
      <x:c r="E40" s="2"/>
      <x:c r="F40" s="2"/>
      <x:c r="G40" s="2"/>
      <x:c r="H40" s="2"/>
      <x:c r="I40" s="2"/>
      <x:c r="J40" s="2"/>
      <x:c r="K40" s="2"/>
      <x:c r="L40" s="2"/>
      <x:c r="M40" s="2"/>
      <x:c r="N40" s="2"/>
      <x:c r="O40" s="2"/>
    </x:row>
    <x:row r="41" ht="65" customHeight="1">
      <x:c r="A41" s="4" t="str">
        <x:v>Evidence trail</x:v>
      </x:c>
      <x:c r="B41" s="4"/>
      <x:c r="C41" s="4"/>
      <x:c r="D41" s="4" t="str">
        <x:v>Chart values link to Debt and liquidity and History. Data retains the exact input periods, tags, accessions and source URLs.</x:v>
      </x:c>
      <x:c r="E41" s="2"/>
      <x:c r="F41" s="2"/>
      <x:c r="G41" s="2"/>
      <x:c r="H41" s="2"/>
      <x:c r="I41" s="2"/>
      <x:c r="J41" s="2"/>
      <x:c r="K41" s="2"/>
      <x:c r="L41" s="2"/>
      <x:c r="M41" s="2"/>
      <x:c r="N41" s="2"/>
      <x:c r="O41" s="2"/>
    </x:row>
    <x:row r="42" ht="35" customHeight="1">
      <x:c r="A42" s="4"/>
      <x:c r="B42" s="4"/>
      <x:c r="C42" s="4"/>
      <x:c r="D42" s="4"/>
      <x:c r="E42" s="2"/>
      <x:c r="F42" s="2"/>
      <x:c r="G42" s="2"/>
      <x:c r="H42" s="2"/>
      <x:c r="I42" s="2"/>
      <x:c r="J42" s="2"/>
      <x:c r="K42" s="2"/>
      <x:c r="L42" s="2"/>
      <x:c r="M42" s="2"/>
      <x:c r="N42" s="2"/>
      <x:c r="O42" s="2"/>
    </x:row>
    <x:row r="43" ht="35" customHeight="1">
      <x:c r="A43" s="4"/>
      <x:c r="B43" s="4"/>
      <x:c r="C43" s="4"/>
      <x:c r="D43" s="4"/>
      <x:c r="E43" s="2"/>
      <x:c r="F43" s="2"/>
      <x:c r="G43" s="2"/>
      <x:c r="H43" s="2"/>
      <x:c r="I43" s="2"/>
      <x:c r="J43" s="2"/>
      <x:c r="K43" s="2"/>
      <x:c r="L43" s="2"/>
      <x:c r="M43" s="2"/>
      <x:c r="N43" s="2"/>
      <x:c r="O43" s="2"/>
    </x:row>
  </x:sheetData>
  <x:pageMargins left="0.7" right="0.7" top="0.75" bottom="0.75" header="0.3" footer="0.3"/>
  <x:drawing xmlns:r="http://schemas.openxmlformats.org/officeDocument/2006/relationships" r:id="R7e8e658a67fa44f0"/>
</x:worksheet>
</file>

<file path=xl/worksheets/sheet6.xml><?xml version="1.0" encoding="utf-8"?>
<x:worksheet xmlns:x="http://schemas.openxmlformats.org/spreadsheetml/2006/main">
  <x:sheetViews>
    <x:sheetView showGridLines="0" workbookViewId="0"/>
  </x:sheetViews>
  <x:sheetFormatPr defaultRowHeight="15"/>
  <x:cols>
    <x:col min="1" max="1" width="50" hidden="0" customWidth="1"/>
    <x:col min="2" max="2" width="21" hidden="0" customWidth="1"/>
    <x:col min="3" max="3" width="21" hidden="0" customWidth="1"/>
    <x:col min="4" max="4" width="66" hidden="0" customWidth="1"/>
    <x:col min="5" max="5" width="75" hidden="0" customWidth="1"/>
  </x:cols>
  <x:sheetData>
    <x:row r="2" ht="25" customHeight="1">
      <x:c r="A2" s="61" t="str">
        <x:v>Vistra cash generation and repayment</x:v>
      </x:c>
      <x:c r="B2" s="41"/>
      <x:c r="C2" s="41"/>
      <x:c r="D2" s="41"/>
    </x:row>
    <x:row r="3" ht="25" customHeight="1">
      <x:c r="A3" s="62" t="str">
        <x:v>Jan 1–Jun 30, 2026. USD millions. Historical cash flows, not a forecast.</x:v>
      </x:c>
      <x:c r="B3" s="41"/>
      <x:c r="C3" s="41"/>
      <x:c r="D3" s="41"/>
    </x:row>
    <x:row r="4" ht="25" customHeight="1">
      <x:c r="A4" s="41"/>
      <x:c r="B4" s="41"/>
      <x:c r="C4" s="41"/>
      <x:c r="D4" s="41"/>
    </x:row>
    <x:row r="5" ht="25" customHeight="1">
      <x:c r="A5" s="189" t="str">
        <x:v>Cash measure</x:v>
      </x:c>
      <x:c r="B5" s="190" t="str">
        <x:v>USD millions</x:v>
      </x:c>
      <x:c r="C5" s="65"/>
      <x:c r="D5" s="65"/>
      <x:c r="E5" s="66"/>
    </x:row>
    <x:row r="6" ht="28" customHeight="1">
      <x:c r="A6" s="78" t="str">
        <x:v>Operating cash flow</x:v>
      </x:c>
      <x:c r="B6" s="79" t="n">
        <x:f>IF(ISNUMBER(Data!B2),Data!B2,NA())</x:f>
        <x:v>2222000000</x:v>
      </x:c>
      <x:c r="C6" s="41"/>
      <x:c r="D6" s="68" t="str">
        <x:v>Capital spending includes nuclear fuel and LTSA prepayments.</x:v>
      </x:c>
    </x:row>
    <x:row r="7" ht="28" customHeight="1">
      <x:c r="A7" s="78" t="str">
        <x:v>Capital spending</x:v>
      </x:c>
      <x:c r="B7" s="79" t="n">
        <x:f>IF(ISNUMBER(Data!B3),Data!B3,NA())</x:f>
        <x:v>1572000000</x:v>
      </x:c>
      <x:c r="C7" s="41"/>
      <x:c r="D7" s="68"/>
    </x:row>
    <x:row r="8" ht="28" customHeight="1">
      <x:c r="A8" s="204" t="str">
        <x:v>Cash flow after capital spending</x:v>
      </x:c>
      <x:c r="B8" s="205" t="n">
        <x:f>B6-B7</x:f>
        <x:v>650000000</x:v>
      </x:c>
      <x:c r="C8" s="41"/>
      <x:c r="D8" s="68"/>
    </x:row>
    <x:row r="9" ht="28" customHeight="1">
      <x:c r="A9" s="41"/>
      <x:c r="B9" s="63"/>
      <x:c r="C9" s="41"/>
      <x:c r="D9" s="68" t="str">
        <x:v>Reported operating cash flow contains working-capital and margin movements; recurrence is not established.</x:v>
      </x:c>
    </x:row>
    <x:row r="10" ht="28" customHeight="1">
      <x:c r="A10" s="82" t="str">
        <x:v>Stock repurchases</x:v>
      </x:c>
      <x:c r="B10" s="83" t="n">
        <x:f>IF(ISNUMBER(Data!B21),Data!B21,NA())</x:f>
        <x:v>709000000</x:v>
      </x:c>
      <x:c r="C10" s="41"/>
      <x:c r="D10" s="68"/>
    </x:row>
    <x:row r="11" ht="28" customHeight="1">
      <x:c r="A11" s="78" t="str">
        <x:v>Common dividends</x:v>
      </x:c>
      <x:c r="B11" s="79" t="n">
        <x:f>IF(ISNUMBER(Data!B22),Data!B22,NA())</x:f>
        <x:v>154000000</x:v>
      </x:c>
      <x:c r="C11" s="41"/>
      <x:c r="D11" s="68"/>
    </x:row>
    <x:row r="12" ht="28" customHeight="1">
      <x:c r="A12" s="78" t="str">
        <x:v>Preferred dividends</x:v>
      </x:c>
      <x:c r="B12" s="79" t="n">
        <x:f>IF(ISNUMBER(Data!B23),Data!B23,NA())</x:f>
        <x:v>96000000</x:v>
      </x:c>
      <x:c r="C12" s="41"/>
      <x:c r="D12" s="68" t="str">
        <x:v>Operating cash flow is seasonal and weighted toward the second half; H1 is not annualized.</x:v>
      </x:c>
    </x:row>
    <x:row r="13" ht="28" customHeight="1">
      <x:c r="A13" s="90" t="str">
        <x:v>Buybacks and dividends</x:v>
      </x:c>
      <x:c r="B13" s="91" t="n">
        <x:f>SUM(B10:B12)</x:f>
        <x:v>959000000</x:v>
      </x:c>
      <x:c r="C13" s="41"/>
      <x:c r="D13" s="68"/>
    </x:row>
    <x:row r="14" ht="28" customHeight="1">
      <x:c r="A14" s="204" t="str">
        <x:v>After capex, buybacks and dividends</x:v>
      </x:c>
      <x:c r="B14" s="205" t="n">
        <x:f>B8-B13</x:f>
        <x:v>-309000000</x:v>
      </x:c>
      <x:c r="C14" s="41"/>
      <x:c r="D14" s="68"/>
    </x:row>
    <x:row r="15" ht="28" customHeight="1">
      <x:c r="A15" s="41"/>
      <x:c r="B15" s="63"/>
      <x:c r="C15" s="41"/>
      <x:c r="D15" s="68" t="str">
        <x:v>Nuveen interest already included in operating cash flow is not subtracted again.</x:v>
      </x:c>
    </x:row>
    <x:row r="16" ht="28" customHeight="1">
      <x:c r="A16" s="82" t="str">
        <x:v>Debt issuance cash proceeds</x:v>
      </x:c>
      <x:c r="B16" s="83" t="n">
        <x:f>IF(ISNUMBER(Data!B13),Data!B13,NA())</x:f>
        <x:v>6422000000</x:v>
      </x:c>
      <x:c r="C16" s="41"/>
      <x:c r="D16" s="68"/>
    </x:row>
    <x:row r="17" ht="28" customHeight="1">
      <x:c r="A17" s="78" t="str">
        <x:v>Corporate revolver borrowings</x:v>
      </x:c>
      <x:c r="B17" s="79" t="n">
        <x:f>IF(ISNUMBER(Data!B16),Data!B16,NA())</x:f>
        <x:v>400000000</x:v>
      </x:c>
      <x:c r="C17" s="41"/>
      <x:c r="D17" s="68"/>
    </x:row>
    <x:row r="18" ht="28" customHeight="1">
      <x:c r="A18" s="78" t="str">
        <x:v>Commodity-linked borrowings</x:v>
      </x:c>
      <x:c r="B18" s="79" t="n">
        <x:f>IF(ISNUMBER(Data!B18),Data!B18,NA())</x:f>
        <x:v>0</x:v>
      </x:c>
      <x:c r="C18" s="41"/>
      <x:c r="D18" s="68" t="str">
        <x:v>Trust-security turnover is not gross cash available to fund corporate debt.</x:v>
      </x:c>
    </x:row>
    <x:row r="19" ht="28" customHeight="1">
      <x:c r="A19" s="78" t="str">
        <x:v>Debt repayments and repurchases</x:v>
      </x:c>
      <x:c r="B19" s="79" t="n">
        <x:f>IF(ISNUMBER(Data!B14),Data!B14,NA())</x:f>
        <x:v>3859000000</x:v>
      </x:c>
      <x:c r="C19" s="41"/>
      <x:c r="D19" s="68"/>
    </x:row>
    <x:row r="20" ht="28" customHeight="1">
      <x:c r="A20" s="78" t="str">
        <x:v>Revolver repayments</x:v>
      </x:c>
      <x:c r="B20" s="79" t="n">
        <x:f>IF(ISNUMBER(Data!B17),Data!B17,NA())</x:f>
        <x:v>780000000</x:v>
      </x:c>
      <x:c r="C20" s="41"/>
      <x:c r="D20" s="68"/>
    </x:row>
    <x:row r="21" ht="28" customHeight="1">
      <x:c r="A21" s="78" t="str">
        <x:v>Commodity-linked repayments</x:v>
      </x:c>
      <x:c r="B21" s="79" t="n">
        <x:f>IF(ISNUMBER(Data!B19),Data!B19,NA())</x:f>
        <x:v>1420000000</x:v>
      </x:c>
      <x:c r="C21" s="41"/>
      <x:c r="D21" s="68" t="str">
        <x:v>Cash after capex fell short of buybacks and dividends by 309M in this historical period.</x:v>
      </x:c>
    </x:row>
    <x:row r="22" ht="28" customHeight="1">
      <x:c r="A22" s="78" t="str">
        <x:v>Net receivables financing cash flow</x:v>
      </x:c>
      <x:c r="B22" s="79" t="n">
        <x:f>IF(ISNUMBER(Data!B15),Data!B15,NA())</x:f>
        <x:v>-925000000</x:v>
      </x:c>
      <x:c r="C22" s="41"/>
      <x:c r="D22" s="68"/>
    </x:row>
    <x:row r="23" ht="28" customHeight="1">
      <x:c r="A23" s="204" t="str">
        <x:v>Net debt cash flow</x:v>
      </x:c>
      <x:c r="B23" s="205" t="n">
        <x:f>SUM(B16:B18)-SUM(B19:B21)+B22</x:f>
        <x:v>-162000000</x:v>
      </x:c>
      <x:c r="C23" s="41"/>
      <x:c r="D23" s="68"/>
    </x:row>
    <x:row r="24" ht="28" customHeight="1">
      <x:c r="A24" s="41"/>
      <x:c r="B24" s="63"/>
      <x:c r="C24" s="41"/>
      <x:c r="D24" s="68"/>
    </x:row>
    <x:row r="25" ht="28" customHeight="1">
      <x:c r="A25" s="82" t="str">
        <x:v>Other investing cash flow</x:v>
      </x:c>
      <x:c r="B25" s="83" t="n">
        <x:f>-IF(ISNUMBER(Data!B4),Data!B4,NA())+IF(ISNUMBER(Data!B5),Data!B5,NA())-IF(ISNUMBER(Data!B6),Data!B6,NA())+IF(ISNUMBER(Data!B7),Data!B7,NA())-IF(ISNUMBER(Data!B8),Data!B8,NA())+IF(ISNUMBER(Data!B9),Data!B9,NA())+IF(ISNUMBER(Data!B10),Data!B10,NA())-IF(ISNUMBER(Data!B11),Data!B11,NA())</x:f>
        <x:v>293000000</x:v>
      </x:c>
      <x:c r="C25" s="41"/>
      <x:c r="D25" s="41"/>
    </x:row>
    <x:row r="26" ht="28" customHeight="1">
      <x:c r="A26" s="78" t="str">
        <x:v>Debt issuance costs</x:v>
      </x:c>
      <x:c r="B26" s="79" t="n">
        <x:f>IF(ISNUMBER(Data!B20),Data!B20,NA())</x:f>
        <x:v>72000000</x:v>
      </x:c>
      <x:c r="C26" s="41"/>
      <x:c r="D26" s="41"/>
    </x:row>
    <x:row r="27" ht="28" customHeight="1">
      <x:c r="A27" s="78" t="str">
        <x:v>Share compensation tax withholding</x:v>
      </x:c>
      <x:c r="B27" s="79" t="n">
        <x:f>IF(ISNUMBER(Data!B24),Data!B24,NA())</x:f>
        <x:v>69000000</x:v>
      </x:c>
      <x:c r="C27" s="41"/>
      <x:c r="D27" s="41"/>
    </x:row>
    <x:row r="28" ht="28" customHeight="1">
      <x:c r="A28" s="78" t="str">
        <x:v>Nuveen principal paid</x:v>
      </x:c>
      <x:c r="B28" s="79" t="n">
        <x:f>IF(ISNUMBER(Data!B25),Data!B25,NA())</x:f>
        <x:v>19000000</x:v>
      </x:c>
      <x:c r="C28" s="41"/>
      <x:c r="D28" s="41"/>
    </x:row>
    <x:row r="29" ht="28" customHeight="1">
      <x:c r="A29" s="78" t="str">
        <x:v>Other financing cash flow</x:v>
      </x:c>
      <x:c r="B29" s="79" t="n">
        <x:f>IF(ISNUMBER(Data!B26),Data!B26,NA())</x:f>
        <x:v>-3000000</x:v>
      </x:c>
      <x:c r="C29" s="41"/>
      <x:c r="D29" s="41"/>
    </x:row>
    <x:row r="30" ht="28" customHeight="1">
      <x:c r="A30" s="90" t="str">
        <x:v>Calculated net investing cash flow</x:v>
      </x:c>
      <x:c r="B30" s="91" t="n">
        <x:f>B25-B7</x:f>
        <x:v>-1279000000</x:v>
      </x:c>
      <x:c r="C30" s="41"/>
      <x:c r="D30" s="41"/>
    </x:row>
    <x:row r="31" ht="28" customHeight="1">
      <x:c r="A31" s="78" t="str">
        <x:v>Reported net investing cash flow</x:v>
      </x:c>
      <x:c r="B31" s="79" t="n">
        <x:f>IF(ISNUMBER(Data!B12),Data!B12,NA())</x:f>
        <x:v>-1279000000</x:v>
      </x:c>
      <x:c r="C31" s="41"/>
      <x:c r="D31" s="41"/>
    </x:row>
    <x:row r="32" ht="28" customHeight="1">
      <x:c r="A32" s="78" t="str">
        <x:v>Investing reconciliation difference</x:v>
      </x:c>
      <x:c r="B32" s="87" t="n">
        <x:f>B30-B31</x:f>
        <x:v>0</x:v>
      </x:c>
      <x:c r="C32" s="41"/>
      <x:c r="D32" s="41"/>
    </x:row>
    <x:row r="33" ht="28" customHeight="1">
      <x:c r="A33" s="90" t="str">
        <x:v>Calculated net financing cash flow</x:v>
      </x:c>
      <x:c r="B33" s="91" t="n">
        <x:f>B23-B13-B26-B27-B28+B29</x:f>
        <x:v>-1284000000</x:v>
      </x:c>
      <x:c r="C33" s="41"/>
      <x:c r="D33" s="41"/>
    </x:row>
    <x:row r="34" ht="28" customHeight="1">
      <x:c r="A34" s="78" t="str">
        <x:v>Reported net financing cash flow</x:v>
      </x:c>
      <x:c r="B34" s="79" t="n">
        <x:f>IF(ISNUMBER(Data!B27),Data!B27,NA())</x:f>
        <x:v>-1284000000</x:v>
      </x:c>
      <x:c r="C34" s="41"/>
      <x:c r="D34" s="41"/>
    </x:row>
    <x:row r="35" ht="28" customHeight="1">
      <x:c r="A35" s="88" t="str">
        <x:v>Financing reconciliation difference</x:v>
      </x:c>
      <x:c r="B35" s="89" t="n">
        <x:f>B33-B34</x:f>
        <x:v>0</x:v>
      </x:c>
      <x:c r="C35" s="41"/>
      <x:c r="D35" s="41"/>
    </x:row>
    <x:row r="36" ht="28" customHeight="1">
      <x:c r="A36" s="41"/>
      <x:c r="B36" s="63"/>
      <x:c r="C36" s="41"/>
      <x:c r="D36" s="41"/>
    </x:row>
    <x:row r="37" ht="28" customHeight="1">
      <x:c r="A37" s="90" t="str">
        <x:v>Calculated cash change</x:v>
      </x:c>
      <x:c r="B37" s="91" t="n">
        <x:f>B6+B30+B33</x:f>
        <x:v>-341000000</x:v>
      </x:c>
      <x:c r="C37" s="41"/>
      <x:c r="D37" s="41"/>
    </x:row>
    <x:row r="38" ht="28" customHeight="1">
      <x:c r="A38" s="78" t="str">
        <x:v>Reported cash change</x:v>
      </x:c>
      <x:c r="B38" s="79" t="n">
        <x:f>IF(ISNUMBER(Data!B28),Data!B28,NA())</x:f>
        <x:v>-341000000</x:v>
      </x:c>
      <x:c r="C38" s="41"/>
      <x:c r="D38" s="41"/>
    </x:row>
    <x:row r="39" ht="28" customHeight="1">
      <x:c r="A39" s="88" t="str">
        <x:v>Cash-change reconciliation difference</x:v>
      </x:c>
      <x:c r="B39" s="89" t="n">
        <x:f>B37-B38</x:f>
        <x:v>0</x:v>
      </x:c>
      <x:c r="C39" s="41"/>
      <x:c r="D39" s="41"/>
    </x:row>
    <x:row r="40" ht="28" customHeight="1">
      <x:c r="A40" s="41"/>
      <x:c r="B40" s="63"/>
      <x:c r="C40" s="41"/>
      <x:c r="D40" s="41"/>
    </x:row>
    <x:row r="41" ht="28" customHeight="1">
      <x:c r="A41" s="82" t="str">
        <x:v>Opening cash including restricted cash</x:v>
      </x:c>
      <x:c r="B41" s="83" t="n">
        <x:f>IF(ISNUMBER(Data!B29),Data!B29,NA())</x:f>
        <x:v>822000000</x:v>
      </x:c>
      <x:c r="C41" s="41"/>
      <x:c r="D41" s="41"/>
    </x:row>
    <x:row r="42" ht="28" customHeight="1">
      <x:c r="A42" s="90" t="str">
        <x:v>Calculated ending cash including restricted cash</x:v>
      </x:c>
      <x:c r="B42" s="91" t="n">
        <x:f>B41+B37</x:f>
        <x:v>481000000</x:v>
      </x:c>
      <x:c r="C42" s="41"/>
      <x:c r="D42" s="41"/>
    </x:row>
    <x:row r="43" ht="28" customHeight="1">
      <x:c r="A43" s="78" t="str">
        <x:v>Reported ending cash including restricted cash</x:v>
      </x:c>
      <x:c r="B43" s="79" t="n">
        <x:f>IF(ISNUMBER(Data!B30),Data!B30,NA())</x:f>
        <x:v>481000000</x:v>
      </x:c>
      <x:c r="C43" s="41"/>
      <x:c r="D43" s="41"/>
    </x:row>
    <x:row r="44" ht="28" customHeight="1">
      <x:c r="A44" s="78" t="str">
        <x:v>Ending-cash reconciliation difference</x:v>
      </x:c>
      <x:c r="B44" s="87" t="n">
        <x:f>B42-B43</x:f>
        <x:v>0</x:v>
      </x:c>
      <x:c r="C44" s="41"/>
      <x:c r="D44" s="41"/>
    </x:row>
    <x:row r="45" ht="28" customHeight="1">
      <x:c r="A45" s="78" t="str">
        <x:v>Current restricted cash</x:v>
      </x:c>
      <x:c r="B45" s="79" t="n">
        <x:f>IF(ISNUMBER(Data!B32),Data!B32,NA())</x:f>
        <x:v>41000000</x:v>
      </x:c>
      <x:c r="C45" s="41"/>
      <x:c r="D45" s="41"/>
    </x:row>
    <x:row r="46" ht="28" customHeight="1">
      <x:c r="A46" s="78" t="str">
        <x:v>Noncurrent restricted cash</x:v>
      </x:c>
      <x:c r="B46" s="79" t="n">
        <x:f>IF(ISNUMBER(Data!B33),Data!B33,NA())</x:f>
        <x:v>5000000</x:v>
      </x:c>
      <x:c r="C46" s="41"/>
      <x:c r="D46" s="41"/>
    </x:row>
    <x:row r="47" ht="28" customHeight="1">
      <x:c r="A47" s="90" t="str">
        <x:v>Cash excluding restricted cash</x:v>
      </x:c>
      <x:c r="B47" s="91" t="n">
        <x:f>B42-SUM(B45:B46)</x:f>
        <x:v>435000000</x:v>
      </x:c>
      <x:c r="C47" s="41"/>
      <x:c r="D47" s="41"/>
    </x:row>
    <x:row r="48" ht="28" customHeight="1">
      <x:c r="A48" s="78" t="str">
        <x:v>Reported cash and equivalents</x:v>
      </x:c>
      <x:c r="B48" s="79" t="n">
        <x:f>IF(ISNUMBER(Data!B31),Data!B31,NA())</x:f>
        <x:v>435000000</x:v>
      </x:c>
      <x:c r="C48" s="41"/>
      <x:c r="D48" s="41"/>
    </x:row>
    <x:row r="49" ht="28" customHeight="1">
      <x:c r="A49" s="88" t="str">
        <x:v>Balance-sheet cash reconciliation difference</x:v>
      </x:c>
      <x:c r="B49" s="89" t="n">
        <x:f>B47-B48</x:f>
        <x:v>0</x:v>
      </x:c>
      <x:c r="C49" s="41"/>
      <x:c r="D49" s="41"/>
    </x:row>
    <x:row r="50" ht="25" customHeight="1">
      <x:c r="A50" s="41"/>
      <x:c r="B50" s="63"/>
      <x:c r="C50" s="41"/>
      <x:c r="D50" s="41"/>
    </x:row>
    <x:row r="51" ht="25" customHeight="1">
      <x:c r="A51" s="41"/>
      <x:c r="B51" s="63"/>
      <x:c r="C51" s="41"/>
      <x:c r="D51" s="41"/>
    </x:row>
    <x:row r="52" ht="25" customHeight="1">
      <x:c r="A52" s="61" t="str">
        <x:v>Historical operating-income interest coverage</x:v>
      </x:c>
      <x:c r="B52" s="63"/>
      <x:c r="C52" s="41"/>
      <x:c r="D52" s="41"/>
    </x:row>
    <x:row r="53" ht="25" customHeight="1">
      <x:c r="A53" s="41" t="str">
        <x:v>TTM July 1, 2025–June 30, 2026. Selected interest component before capitalized interest.</x:v>
      </x:c>
      <x:c r="B53" s="63"/>
      <x:c r="C53" s="41"/>
      <x:c r="D53" s="41"/>
    </x:row>
    <x:row r="54" ht="25" customHeight="1">
      <x:c r="A54" s="41"/>
      <x:c r="B54" s="63"/>
      <x:c r="C54" s="41"/>
      <x:c r="D54" s="41"/>
    </x:row>
    <x:row r="55" ht="32" customHeight="1">
      <x:c r="A55" s="134" t="str">
        <x:v>Build, USD millions</x:v>
      </x:c>
      <x:c r="B55" s="135" t="str">
        <x:v>FY2025</x:v>
      </x:c>
      <x:c r="C55" s="135" t="str">
        <x:v>+ H1 2026</x:v>
      </x:c>
      <x:c r="D55" s="136" t="str">
        <x:v>− H1 2025</x:v>
      </x:c>
    </x:row>
    <x:row r="56" ht="32" customHeight="1">
      <x:c r="A56" s="93" t="str">
        <x:v>Reported operating income</x:v>
      </x:c>
      <x:c r="B56" s="110" t="n">
        <x:f>IF(ISNUMBER(Data!B78),Data!B78,NA())</x:f>
        <x:v>1906000000</x:v>
      </x:c>
      <x:c r="C56" s="110" t="n">
        <x:f>IF(ISNUMBER(Data!B86),Data!B86,NA())</x:f>
        <x:v>2052000000</x:v>
      </x:c>
      <x:c r="D56" s="153" t="n">
        <x:f>IF(ISNUMBER(Data!B94),Data!B94,NA())</x:f>
        <x:v>395000000</x:v>
      </x:c>
    </x:row>
    <x:row r="57" ht="32" customHeight="1">
      <x:c r="A57" s="117" t="str">
        <x:v>Selected interest component</x:v>
      </x:c>
      <x:c r="B57" s="167" t="n">
        <x:f>IF(ISNUMBER(Data!B79),Data!B79,NA())</x:f>
        <x:v>1107000000</x:v>
      </x:c>
      <x:c r="C57" s="167" t="n">
        <x:f>IF(ISNUMBER(Data!B87),Data!B87,NA())</x:f>
        <x:v>557000000</x:v>
      </x:c>
      <x:c r="D57" s="168" t="n">
        <x:f>IF(ISNUMBER(Data!B95),Data!B95,NA())</x:f>
        <x:v>547000000</x:v>
      </x:c>
    </x:row>
    <x:row r="58" ht="32" customHeight="1">
      <x:c r="A58" s="93" t="str">
        <x:v>Unrealized swap (gain) loss</x:v>
      </x:c>
      <x:c r="B58" s="110" t="n">
        <x:f>-IF(ISNUMBER(Data!B80),Data!B80,NA())</x:f>
        <x:v>67000000</x:v>
      </x:c>
      <x:c r="C58" s="110" t="n">
        <x:f>-IF(ISNUMBER(Data!B88),Data!B88,NA())</x:f>
        <x:v>-7000000</x:v>
      </x:c>
      <x:c r="D58" s="153" t="n">
        <x:f>-IF(ISNUMBER(Data!B96),Data!B96,NA())</x:f>
        <x:v>74000000</x:v>
      </x:c>
    </x:row>
    <x:row r="59" ht="32" customHeight="1">
      <x:c r="A59" s="93" t="str">
        <x:v>Debt-cost amortization</x:v>
      </x:c>
      <x:c r="B59" s="110" t="n">
        <x:f>IF(ISNUMBER(Data!B81),Data!B81,NA())</x:f>
        <x:v>46000000</x:v>
      </x:c>
      <x:c r="C59" s="110" t="n">
        <x:f>IF(ISNUMBER(Data!B89),Data!B89,NA())</x:f>
        <x:v>21000000</x:v>
      </x:c>
      <x:c r="D59" s="153" t="n">
        <x:f>IF(ISNUMBER(Data!B97),Data!B97,NA())</x:f>
        <x:v>22000000</x:v>
      </x:c>
    </x:row>
    <x:row r="60" ht="32" customHeight="1">
      <x:c r="A60" s="93" t="str">
        <x:v>Extinguishment (gain) loss</x:v>
      </x:c>
      <x:c r="B60" s="110" t="n">
        <x:f>-IF(ISNUMBER(Data!B82),Data!B82,NA())</x:f>
        <x:v>0</x:v>
      </x:c>
      <x:c r="C60" s="110" t="n">
        <x:f>-IF(ISNUMBER(Data!B90),Data!B90,NA())</x:f>
        <x:v>35000000</x:v>
      </x:c>
      <x:c r="D60" s="153" t="n">
        <x:f>-IF(ISNUMBER(Data!B98),Data!B98,NA())</x:f>
        <x:v>0</x:v>
      </x:c>
    </x:row>
    <x:row r="61" ht="32" customHeight="1">
      <x:c r="A61" s="93" t="str">
        <x:v>Less capitalized interest</x:v>
      </x:c>
      <x:c r="B61" s="110" t="n">
        <x:f>-IF(ISNUMBER(Data!B83),Data!B83,NA())</x:f>
        <x:v>-125000000</x:v>
      </x:c>
      <x:c r="C61" s="110" t="n">
        <x:f>-IF(ISNUMBER(Data!B91),Data!B91,NA())</x:f>
        <x:v>-82000000</x:v>
      </x:c>
      <x:c r="D61" s="153" t="n">
        <x:f>-IF(ISNUMBER(Data!B99),Data!B99,NA())</x:f>
        <x:v>-56000000</x:v>
      </x:c>
    </x:row>
    <x:row r="62" ht="32" customHeight="1">
      <x:c r="A62" s="93" t="str">
        <x:v>Other</x:v>
      </x:c>
      <x:c r="B62" s="110" t="n">
        <x:f>IF(ISNUMBER(Data!B84),Data!B84,NA())</x:f>
        <x:v>84000000</x:v>
      </x:c>
      <x:c r="C62" s="110" t="n">
        <x:f>IF(ISNUMBER(Data!B92),Data!B92,NA())</x:f>
        <x:v>51000000</x:v>
      </x:c>
      <x:c r="D62" s="153" t="n">
        <x:f>IF(ISNUMBER(Data!B100),Data!B100,NA())</x:f>
        <x:v>35000000</x:v>
      </x:c>
    </x:row>
    <x:row r="63" ht="32" customHeight="1">
      <x:c r="A63" s="117" t="str">
        <x:v>Reconstructed mixed interest total</x:v>
      </x:c>
      <x:c r="B63" s="171" t="n">
        <x:f>SUM(B57:B62)</x:f>
        <x:v>1179000000</x:v>
      </x:c>
      <x:c r="C63" s="171" t="n">
        <x:f>SUM(C57:C62)</x:f>
        <x:v>575000000</x:v>
      </x:c>
      <x:c r="D63" s="172" t="n">
        <x:f>SUM(D57:D62)</x:f>
        <x:v>622000000</x:v>
      </x:c>
    </x:row>
    <x:row r="64" ht="32" customHeight="1">
      <x:c r="A64" s="117" t="str">
        <x:v>Reported mixed interest total</x:v>
      </x:c>
      <x:c r="B64" s="167" t="n">
        <x:f>IF(ISNUMBER(Data!B85),Data!B85,NA())</x:f>
        <x:v>1179000000</x:v>
      </x:c>
      <x:c r="C64" s="167" t="n">
        <x:f>IF(ISNUMBER(Data!B93),Data!B93,NA())</x:f>
        <x:v>575000000</x:v>
      </x:c>
      <x:c r="D64" s="168" t="n">
        <x:f>IF(ISNUMBER(Data!B101),Data!B101,NA())</x:f>
        <x:v>622000000</x:v>
      </x:c>
    </x:row>
    <x:row r="65" ht="32" customHeight="1">
      <x:c r="A65" s="176" t="str">
        <x:v>Reconciliation difference, zero = matched</x:v>
      </x:c>
      <x:c r="B65" s="177" t="n">
        <x:f>B63-B64</x:f>
        <x:v>0</x:v>
      </x:c>
      <x:c r="C65" s="177" t="n">
        <x:f>C63-C64</x:f>
        <x:v>0</x:v>
      </x:c>
      <x:c r="D65" s="178" t="n">
        <x:f>D63-D64</x:f>
        <x:v>0</x:v>
      </x:c>
    </x:row>
    <x:row r="66" ht="25" customHeight="1">
      <x:c r="A66" s="41"/>
      <x:c r="B66" s="41"/>
      <x:c r="C66" s="41"/>
      <x:c r="D66" s="41"/>
    </x:row>
    <x:row r="67" ht="25" customHeight="1">
      <x:c r="A67" s="41"/>
      <x:c r="B67" s="41"/>
      <x:c r="C67" s="41"/>
      <x:c r="D67" s="41"/>
    </x:row>
    <x:row r="68" ht="32" customHeight="1">
      <x:c r="A68" s="90" t="str">
        <x:v>TTM reported operating income</x:v>
      </x:c>
      <x:c r="B68" s="91" t="n">
        <x:f>B56+C56-D56</x:f>
        <x:v>3563000000</x:v>
      </x:c>
      <x:c r="C68" s="41"/>
      <x:c r="D68" s="41"/>
    </x:row>
    <x:row r="69" ht="32" customHeight="1">
      <x:c r="A69" s="90" t="str">
        <x:v>TTM selected interest component</x:v>
      </x:c>
      <x:c r="B69" s="91" t="n">
        <x:f>B57+C57-D57</x:f>
        <x:v>1117000000</x:v>
      </x:c>
      <x:c r="C69" s="41"/>
      <x:c r="D69" s="41"/>
    </x:row>
    <x:row r="70" ht="32" customHeight="1">
      <x:c r="A70" s="78" t="str">
        <x:v>TTM unrealized swap (gain) loss</x:v>
      </x:c>
      <x:c r="B70" s="86" t="n">
        <x:f>B58+C58-D58</x:f>
        <x:v>-14000000</x:v>
      </x:c>
      <x:c r="C70" s="41"/>
      <x:c r="D70" s="41"/>
    </x:row>
    <x:row r="71" ht="32" customHeight="1">
      <x:c r="A71" s="78" t="str">
        <x:v>TTM debt-cost amortization</x:v>
      </x:c>
      <x:c r="B71" s="86" t="n">
        <x:f>B59+C59-D59</x:f>
        <x:v>45000000</x:v>
      </x:c>
      <x:c r="C71" s="41"/>
      <x:c r="D71" s="41"/>
    </x:row>
    <x:row r="72" ht="32" customHeight="1">
      <x:c r="A72" s="78" t="str">
        <x:v>TTM extinguishment (gain) loss</x:v>
      </x:c>
      <x:c r="B72" s="86" t="n">
        <x:f>B60+C60-D60</x:f>
        <x:v>35000000</x:v>
      </x:c>
      <x:c r="C72" s="41"/>
      <x:c r="D72" s="41"/>
    </x:row>
    <x:row r="73" ht="32" customHeight="1">
      <x:c r="A73" s="78" t="str">
        <x:v>TTM capitalized-interest deduction</x:v>
      </x:c>
      <x:c r="B73" s="86" t="n">
        <x:f>B61+C61-D61</x:f>
        <x:v>-151000000</x:v>
      </x:c>
      <x:c r="C73" s="41"/>
      <x:c r="D73" s="41"/>
    </x:row>
    <x:row r="74" ht="32" customHeight="1">
      <x:c r="A74" s="78" t="str">
        <x:v>TTM Other</x:v>
      </x:c>
      <x:c r="B74" s="86" t="n">
        <x:f>B62+C62-D62</x:f>
        <x:v>100000000</x:v>
      </x:c>
      <x:c r="C74" s="41"/>
      <x:c r="D74" s="41"/>
    </x:row>
    <x:row r="75" ht="32" customHeight="1">
      <x:c r="A75" s="90" t="str">
        <x:v>TTM reconstructed mixed interest total</x:v>
      </x:c>
      <x:c r="B75" s="91" t="n">
        <x:f>SUM(B69:B74)</x:f>
        <x:v>1132000000</x:v>
      </x:c>
      <x:c r="C75" s="41"/>
      <x:c r="D75" s="41"/>
    </x:row>
    <x:row r="76" ht="32" customHeight="1">
      <x:c r="A76" s="90" t="str">
        <x:v>TTM reported mixed interest total</x:v>
      </x:c>
      <x:c r="B76" s="91" t="n">
        <x:f>B64+C64-D64</x:f>
        <x:v>1132000000</x:v>
      </x:c>
      <x:c r="C76" s="41"/>
      <x:c r="D76" s="41"/>
    </x:row>
    <x:row r="77" ht="32" customHeight="1">
      <x:c r="A77" s="90" t="str">
        <x:v>TTM reconciliation difference</x:v>
      </x:c>
      <x:c r="B77" s="180" t="n">
        <x:f>B75-B76</x:f>
        <x:v>0</x:v>
      </x:c>
      <x:c r="C77" s="41"/>
      <x:c r="D77" s="41"/>
    </x:row>
    <x:row r="78" ht="32" customHeight="1">
      <x:c r="A78" s="78"/>
      <x:c r="B78" s="106"/>
      <x:c r="C78" s="41"/>
      <x:c r="D78" s="41"/>
    </x:row>
    <x:row r="79" ht="32" customHeight="1">
      <x:c r="A79" s="183" t="str">
        <x:v>Historical interest-component coverage</x:v>
      </x:c>
      <x:c r="B79" s="184" t="n">
        <x:f>IF(AND(B65=0,C65=0,D65=0,B77=0,D91=0,B69&gt;0),B68/B69,NA())</x:f>
        <x:v>3.189794091316025</x:v>
      </x:c>
      <x:c r="C79" s="41"/>
      <x:c r="D79" s="41"/>
    </x:row>
    <x:row r="80" ht="25" customHeight="1">
      <x:c r="A80" s="41"/>
      <x:c r="B80" s="41"/>
      <x:c r="C80" s="41"/>
      <x:c r="D80" s="41"/>
    </x:row>
    <x:row r="81" ht="25" customHeight="1">
      <x:c r="A81" s="41"/>
      <x:c r="B81" s="41"/>
      <x:c r="C81" s="41"/>
      <x:c r="D81" s="41"/>
    </x:row>
    <x:row r="82" ht="32" customHeight="1">
      <x:c r="A82" s="134" t="str">
        <x:v>Prior H1 raw fact</x:v>
      </x:c>
      <x:c r="B82" s="135" t="str">
        <x:v>2026 comparative</x:v>
      </x:c>
      <x:c r="C82" s="135" t="str">
        <x:v>Original 2025 filing</x:v>
      </x:c>
      <x:c r="D82" s="136" t="str">
        <x:v>Difference</x:v>
      </x:c>
    </x:row>
    <x:row r="83" ht="32" customHeight="1">
      <x:c r="A83" s="93" t="str">
        <x:v>Operating income (raw)</x:v>
      </x:c>
      <x:c r="B83" s="110" t="n">
        <x:f>IF(ISNUMBER(Data!B94),Data!B94,NA())</x:f>
        <x:v>395000000</x:v>
      </x:c>
      <x:c r="C83" s="110" t="n">
        <x:f>IF(ISNUMBER(Data!B102),Data!B102,NA())</x:f>
        <x:v>395000000</x:v>
      </x:c>
      <x:c r="D83" s="159" t="n">
        <x:f>B83-C83</x:f>
        <x:v>0</x:v>
      </x:c>
    </x:row>
    <x:row r="84" ht="32" customHeight="1">
      <x:c r="A84" s="93" t="str">
        <x:v>Interest component (raw)</x:v>
      </x:c>
      <x:c r="B84" s="110" t="n">
        <x:f>IF(ISNUMBER(Data!B95),Data!B95,NA())</x:f>
        <x:v>547000000</x:v>
      </x:c>
      <x:c r="C84" s="110" t="n">
        <x:f>IF(ISNUMBER(Data!B103),Data!B103,NA())</x:f>
        <x:v>547000000</x:v>
      </x:c>
      <x:c r="D84" s="159" t="n">
        <x:f>B84-C84</x:f>
        <x:v>0</x:v>
      </x:c>
    </x:row>
    <x:row r="85" ht="32" customHeight="1">
      <x:c r="A85" s="93" t="str">
        <x:v>Swap gain (loss) (raw)</x:v>
      </x:c>
      <x:c r="B85" s="110" t="n">
        <x:f>IF(ISNUMBER(Data!B96),Data!B96,NA())</x:f>
        <x:v>-74000000</x:v>
      </x:c>
      <x:c r="C85" s="110" t="n">
        <x:f>IF(ISNUMBER(Data!B104),Data!B104,NA())</x:f>
        <x:v>-74000000</x:v>
      </x:c>
      <x:c r="D85" s="159" t="n">
        <x:f>B85-C85</x:f>
        <x:v>0</x:v>
      </x:c>
    </x:row>
    <x:row r="86" ht="32" customHeight="1">
      <x:c r="A86" s="93" t="str">
        <x:v>Debt-cost amortization (raw)</x:v>
      </x:c>
      <x:c r="B86" s="110" t="n">
        <x:f>IF(ISNUMBER(Data!B97),Data!B97,NA())</x:f>
        <x:v>22000000</x:v>
      </x:c>
      <x:c r="C86" s="110" t="n">
        <x:f>IF(ISNUMBER(Data!B105),Data!B105,NA())</x:f>
        <x:v>22000000</x:v>
      </x:c>
      <x:c r="D86" s="159" t="n">
        <x:f>B86-C86</x:f>
        <x:v>0</x:v>
      </x:c>
    </x:row>
    <x:row r="87" ht="32" customHeight="1">
      <x:c r="A87" s="93" t="str">
        <x:v>Extinguishment gain (loss) (raw)</x:v>
      </x:c>
      <x:c r="B87" s="110" t="n">
        <x:f>IF(ISNUMBER(Data!B98),Data!B98,NA())</x:f>
        <x:v>0</x:v>
      </x:c>
      <x:c r="C87" s="110" t="n">
        <x:f>IF(ISNUMBER(Data!B106),Data!B106,NA())</x:f>
        <x:v>0</x:v>
      </x:c>
      <x:c r="D87" s="159" t="n">
        <x:f>B87-C87</x:f>
        <x:v>0</x:v>
      </x:c>
    </x:row>
    <x:row r="88" ht="32" customHeight="1">
      <x:c r="A88" s="93" t="str">
        <x:v>Capitalized interest (raw)</x:v>
      </x:c>
      <x:c r="B88" s="110" t="n">
        <x:f>IF(ISNUMBER(Data!B99),Data!B99,NA())</x:f>
        <x:v>56000000</x:v>
      </x:c>
      <x:c r="C88" s="110" t="n">
        <x:f>IF(ISNUMBER(Data!B107),Data!B107,NA())</x:f>
        <x:v>56000000</x:v>
      </x:c>
      <x:c r="D88" s="159" t="n">
        <x:f>B88-C88</x:f>
        <x:v>0</x:v>
      </x:c>
    </x:row>
    <x:row r="89" ht="32" customHeight="1">
      <x:c r="A89" s="93" t="str">
        <x:v>Other (raw)</x:v>
      </x:c>
      <x:c r="B89" s="110" t="n">
        <x:f>IF(ISNUMBER(Data!B100),Data!B100,NA())</x:f>
        <x:v>35000000</x:v>
      </x:c>
      <x:c r="C89" s="110" t="n">
        <x:f>IF(ISNUMBER(Data!B108),Data!B108,NA())</x:f>
        <x:v>35000000</x:v>
      </x:c>
      <x:c r="D89" s="159" t="n">
        <x:f>B89-C89</x:f>
        <x:v>0</x:v>
      </x:c>
    </x:row>
    <x:row r="90" ht="32" customHeight="1">
      <x:c r="A90" s="93" t="str">
        <x:v>Mixed interest total (raw)</x:v>
      </x:c>
      <x:c r="B90" s="110" t="n">
        <x:f>IF(ISNUMBER(Data!B101),Data!B101,NA())</x:f>
        <x:v>622000000</x:v>
      </x:c>
      <x:c r="C90" s="110" t="n">
        <x:f>IF(ISNUMBER(Data!B109),Data!B109,NA())</x:f>
        <x:v>622000000</x:v>
      </x:c>
      <x:c r="D90" s="159" t="n">
        <x:f>B90-C90</x:f>
        <x:v>0</x:v>
      </x:c>
    </x:row>
    <x:row r="91" ht="32" customHeight="1">
      <x:c r="A91" s="97" t="str">
        <x:v>Total absolute prior-period difference</x:v>
      </x:c>
      <x:c r="B91" s="114"/>
      <x:c r="C91" s="114"/>
      <x:c r="D91" s="158" t="n">
        <x:f>SUM(ABS(D83),ABS(D84),ABS(D85),ABS(D86),ABS(D87),ABS(D88),ABS(D89),ABS(D90))</x:f>
        <x:v>0</x:v>
      </x:c>
    </x:row>
    <x:row r="92" ht="25" customHeight="1">
      <x:c r="A92" s="41"/>
      <x:c r="B92" s="41"/>
      <x:c r="C92" s="41"/>
      <x:c r="D92" s="41"/>
    </x:row>
    <x:row r="93" ht="25" customHeight="1">
      <x:c r="A93" s="41" t="str">
        <x:v>Raw gains are positive; swap/extinguishment signs are reversed only in the expense build.</x:v>
      </x:c>
      <x:c r="B93" s="41"/>
      <x:c r="C93" s="41"/>
      <x:c r="D93" s="41"/>
    </x:row>
    <x:row r="94" ht="25" customHeight="1">
      <x:c r="A94" s="41" t="str">
        <x:v>Capitalization is deducted in the mixed total, not adjusted again in the selected denominator.</x:v>
      </x:c>
      <x:c r="B94" s="41"/>
      <x:c r="C94" s="41"/>
      <x:c r="D94" s="41"/>
    </x:row>
    <x:row r="95" ht="25" customHeight="1">
      <x:c r="A95" s="41" t="str">
        <x:v>Receivables/Nuveen allocation and Other composition: Unavailable. See About.</x:v>
      </x:c>
      <x:c r="B95" s="41"/>
      <x:c r="C95" s="41"/>
      <x:c r="D95" s="41"/>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50" hidden="0" customWidth="1"/>
    <x:col min="2" max="2" width="21" hidden="0" customWidth="1"/>
    <x:col min="3" max="3" width="21" hidden="0" customWidth="1"/>
    <x:col min="4" max="4" width="50" hidden="0" customWidth="1"/>
    <x:col min="5" max="5" width="75" hidden="0" customWidth="1"/>
  </x:cols>
  <x:sheetData>
    <x:row r="2" ht="25" customHeight="1">
      <x:c r="A2" s="61" t="str">
        <x:v>Vistra dated repayment review</x:v>
      </x:c>
      <x:c r="B2" s="41"/>
      <x:c r="C2" s="41"/>
      <x:c r="D2" s="41"/>
      <x:c r="E2" s="41"/>
      <x:c r="F2" s="41"/>
      <x:c r="G2" s="41"/>
      <x:c r="H2" s="41"/>
      <x:c r="I2" s="41"/>
    </x:row>
    <x:row r="3" ht="25" customHeight="1">
      <x:c r="A3" s="62" t="str">
        <x:v>Selected June 30 balances. USD millions. Principal except Nuveen includes interest.</x:v>
      </x:c>
      <x:c r="B3" s="41"/>
      <x:c r="C3" s="41"/>
      <x:c r="D3" s="41"/>
      <x:c r="E3" s="41"/>
      <x:c r="F3" s="41"/>
      <x:c r="G3" s="41"/>
      <x:c r="H3" s="41"/>
      <x:c r="I3" s="41"/>
    </x:row>
    <x:row r="4" ht="25" customHeight="1">
      <x:c r="A4" s="41"/>
      <x:c r="B4" s="41"/>
      <x:c r="C4" s="41"/>
      <x:c r="D4" s="41"/>
      <x:c r="E4" s="41"/>
      <x:c r="F4" s="41"/>
      <x:c r="G4" s="41"/>
      <x:c r="H4" s="41"/>
      <x:c r="I4" s="41"/>
    </x:row>
    <x:row r="5" ht="25" customHeight="1">
      <x:c r="A5" s="189" t="str">
        <x:v>Obligation</x:v>
      </x:c>
      <x:c r="B5" s="193" t="str">
        <x:v>Due from</x:v>
      </x:c>
      <x:c r="C5" s="193" t="str">
        <x:v>Due through</x:v>
      </x:c>
      <x:c r="D5" s="193" t="str">
        <x:v>USD millions</x:v>
      </x:c>
      <x:c r="E5" s="190" t="str">
        <x:v>Basis and condition</x:v>
      </x:c>
      <x:c r="F5" s="41"/>
      <x:c r="G5" s="41"/>
      <x:c r="H5" s="41"/>
      <x:c r="I5" s="41"/>
    </x:row>
    <x:row r="6" ht="70" customHeight="1">
      <x:c r="A6" s="93" t="str">
        <x:v>Pulaski bridge loan</x:v>
      </x:c>
      <x:c r="B6" s="94" t="d">
        <x:v>2026-12-03T00:00:00.000Z</x:v>
      </x:c>
      <x:c r="C6" s="94" t="d">
        <x:v>2026-12-03T00:00:00.000Z</x:v>
      </x:c>
      <x:c r="D6" s="95" t="n">
        <x:f>IF(ISNUMBER(Data!B43),Data!B43,NA())</x:f>
        <x:v>261000000</x:v>
      </x:c>
      <x:c r="E6" s="96" t="str">
        <x:v>Principal balance; Vistra guarantees repayment. Expected investment tax credits are not cash already available.</x:v>
      </x:c>
      <x:c r="F6" s="41"/>
      <x:c r="G6" s="41"/>
      <x:c r="H6" s="41"/>
      <x:c r="I6" s="41"/>
    </x:row>
    <x:row r="7" ht="70" customHeight="1">
      <x:c r="A7" s="93" t="str">
        <x:v>Pulaski construction loan</x:v>
      </x:c>
      <x:c r="B7" s="94" t="d">
        <x:v>2026-12-01T00:00:00.000Z</x:v>
      </x:c>
      <x:c r="C7" s="94" t="d">
        <x:v>2026-12-31T00:00:00.000Z</x:v>
      </x:c>
      <x:c r="D7" s="95" t="n">
        <x:f>IF(ISNUMBER(Data!B45),Data!B45,NA())</x:f>
        <x:v>297000000</x:v>
      </x:c>
      <x:c r="E7" s="96" t="str">
        <x:v>Outstanding construction balance matures in December. Conversion to a term loan requires commercial operation and other conditions; completion is not assumed.</x:v>
      </x:c>
      <x:c r="F7" s="41"/>
      <x:c r="G7" s="41"/>
      <x:c r="H7" s="41"/>
      <x:c r="I7" s="41"/>
    </x:row>
    <x:row r="8" ht="70" customHeight="1">
      <x:c r="A8" s="93" t="str">
        <x:v>5.050% senior notes</x:v>
      </x:c>
      <x:c r="B8" s="94" t="d">
        <x:v>2026-12-30T00:00:00.000Z</x:v>
      </x:c>
      <x:c r="C8" s="94" t="d">
        <x:v>2026-12-30T00:00:00.000Z</x:v>
      </x:c>
      <x:c r="D8" s="95" t="n">
        <x:f>IF(ISNUMBER(Data!B50),Data!B50,NA())</x:f>
        <x:v>500000000</x:v>
      </x:c>
      <x:c r="E8" s="96" t="str">
        <x:v>Vistra Operations principal; coupon interest is additional.</x:v>
      </x:c>
      <x:c r="F8" s="41"/>
      <x:c r="G8" s="41"/>
      <x:c r="H8" s="41"/>
      <x:c r="I8" s="41"/>
    </x:row>
    <x:row r="9" ht="70" customHeight="1">
      <x:c r="A9" s="93" t="str">
        <x:v>Nuveen final payment</x:v>
      </x:c>
      <x:c r="B9" s="94" t="d">
        <x:v>2026-12-31T00:00:00.000Z</x:v>
      </x:c>
      <x:c r="C9" s="94" t="d">
        <x:v>2026-12-31T00:00:00.000Z</x:v>
      </x:c>
      <x:c r="D9" s="95" t="n">
        <x:f>IF(ISNUMBER(Data!B49),Data!B49,NA())</x:f>
        <x:v>631000000</x:v>
      </x:c>
      <x:c r="E9" s="96" t="str">
        <x:v>Principal and interest combined. The 613M carrying liability is the same obligation, not an additional payment.</x:v>
      </x:c>
      <x:c r="F9" s="41"/>
      <x:c r="G9" s="41"/>
      <x:c r="H9" s="41"/>
      <x:c r="I9" s="41"/>
    </x:row>
    <x:row r="10" ht="70" customHeight="1">
      <x:c r="A10" s="93" t="str">
        <x:v>3.700% senior notes</x:v>
      </x:c>
      <x:c r="B10" s="94" t="d">
        <x:v>2027-01-30T00:00:00.000Z</x:v>
      </x:c>
      <x:c r="C10" s="94" t="d">
        <x:v>2027-01-30T00:00:00.000Z</x:v>
      </x:c>
      <x:c r="D10" s="95" t="n">
        <x:f>IF(ISNUMBER(Data!B51),Data!B51,NA())</x:f>
        <x:v>800000000</x:v>
      </x:c>
      <x:c r="E10" s="96" t="str">
        <x:v>Vistra Operations principal; coupon interest is additional.</x:v>
      </x:c>
      <x:c r="F10" s="41"/>
      <x:c r="G10" s="41"/>
      <x:c r="H10" s="41"/>
      <x:c r="I10" s="41"/>
    </x:row>
    <x:row r="11" ht="70" customHeight="1">
      <x:c r="A11" s="97" t="str">
        <x:v>5.000% senior notes</x:v>
      </x:c>
      <x:c r="B11" s="98" t="d">
        <x:v>2027-07-31T00:00:00.000Z</x:v>
      </x:c>
      <x:c r="C11" s="98" t="d">
        <x:v>2027-07-31T00:00:00.000Z</x:v>
      </x:c>
      <x:c r="D11" s="99" t="n">
        <x:f>IF(ISNUMBER(Data!B52),Data!B52,NA())</x:f>
        <x:v>1300000000</x:v>
      </x:c>
      <x:c r="E11" s="100" t="str">
        <x:v>Vistra Operations principal; coupon interest is additional.</x:v>
      </x:c>
      <x:c r="F11" s="41"/>
      <x:c r="G11" s="41"/>
      <x:c r="H11" s="41"/>
      <x:c r="I11" s="41"/>
    </x:row>
    <x:row r="12" ht="25" customHeight="1">
      <x:c r="A12" s="41"/>
      <x:c r="B12" s="63"/>
      <x:c r="C12" s="41"/>
      <x:c r="D12" s="41"/>
      <x:c r="E12" s="41"/>
      <x:c r="F12" s="41"/>
      <x:c r="G12" s="41"/>
      <x:c r="H12" s="41"/>
      <x:c r="I12" s="41"/>
    </x:row>
    <x:row r="13" ht="25" customHeight="1">
      <x:c r="A13" s="41"/>
      <x:c r="B13" s="63"/>
      <x:c r="C13" s="41"/>
      <x:c r="D13" s="41"/>
      <x:c r="E13" s="41"/>
      <x:c r="F13" s="41"/>
      <x:c r="G13" s="41"/>
      <x:c r="H13" s="41"/>
      <x:c r="I13" s="41"/>
    </x:row>
    <x:row r="14" ht="25" customHeight="1">
      <x:c r="A14" s="41"/>
      <x:c r="B14" s="63"/>
      <x:c r="C14" s="41"/>
      <x:c r="D14" s="41"/>
      <x:c r="E14" s="41"/>
      <x:c r="F14" s="41"/>
      <x:c r="G14" s="41"/>
      <x:c r="H14" s="41"/>
      <x:c r="I14" s="41"/>
    </x:row>
    <x:row r="15" ht="25" customHeight="1">
      <x:c r="A15" s="41"/>
      <x:c r="B15" s="63"/>
      <x:c r="C15" s="41"/>
      <x:c r="D15" s="41"/>
      <x:c r="E15" s="41"/>
      <x:c r="F15" s="41"/>
      <x:c r="G15" s="41"/>
      <x:c r="H15" s="41"/>
      <x:c r="I15" s="41"/>
    </x:row>
    <x:row r="16" ht="25" customHeight="1">
      <x:c r="A16" s="41"/>
      <x:c r="B16" s="63"/>
      <x:c r="C16" s="41"/>
      <x:c r="D16" s="41"/>
      <x:c r="E16" s="41"/>
      <x:c r="F16" s="41"/>
      <x:c r="G16" s="41"/>
      <x:c r="H16" s="41"/>
      <x:c r="I16" s="41"/>
    </x:row>
    <x:row r="17" ht="25" customHeight="1">
      <x:c r="A17" s="41"/>
      <x:c r="B17" s="63"/>
      <x:c r="C17" s="41"/>
      <x:c r="D17" s="41"/>
      <x:c r="E17" s="41"/>
      <x:c r="F17" s="41"/>
      <x:c r="G17" s="41"/>
      <x:c r="H17" s="41"/>
      <x:c r="I17" s="41"/>
    </x:row>
    <x:row r="18" ht="25" customHeight="1">
      <x:c r="A18" s="41"/>
      <x:c r="B18" s="63"/>
      <x:c r="C18" s="41"/>
      <x:c r="D18" s="41"/>
      <x:c r="E18" s="41"/>
      <x:c r="F18" s="41"/>
      <x:c r="G18" s="41"/>
      <x:c r="H18" s="41"/>
      <x:c r="I18" s="41"/>
    </x:row>
    <x:row r="19" ht="25" customHeight="1">
      <x:c r="A19" s="41"/>
      <x:c r="B19" s="63"/>
      <x:c r="C19" s="41"/>
      <x:c r="D19" s="41"/>
      <x:c r="E19" s="41"/>
      <x:c r="F19" s="41"/>
      <x:c r="G19" s="41"/>
      <x:c r="H19" s="41"/>
      <x:c r="I19" s="41"/>
    </x:row>
    <x:row r="20" ht="25" customHeight="1">
      <x:c r="A20" s="41"/>
      <x:c r="B20" s="63"/>
      <x:c r="C20" s="41"/>
      <x:c r="D20" s="41"/>
      <x:c r="E20" s="41"/>
      <x:c r="F20" s="41"/>
      <x:c r="G20" s="41"/>
      <x:c r="H20" s="41"/>
      <x:c r="I20" s="41"/>
    </x:row>
    <x:row r="21" ht="25" customHeight="1">
      <x:c r="A21" s="41"/>
      <x:c r="B21" s="63"/>
      <x:c r="C21" s="41"/>
      <x:c r="D21" s="41"/>
      <x:c r="E21" s="41"/>
      <x:c r="F21" s="41"/>
      <x:c r="G21" s="41"/>
      <x:c r="H21" s="41"/>
      <x:c r="I21" s="41"/>
    </x:row>
    <x:row r="22" ht="25" customHeight="1">
      <x:c r="A22" s="41"/>
      <x:c r="B22" s="63"/>
      <x:c r="C22" s="41"/>
      <x:c r="D22" s="41"/>
      <x:c r="E22" s="41"/>
      <x:c r="F22" s="41"/>
      <x:c r="G22" s="41"/>
      <x:c r="H22" s="41"/>
      <x:c r="I22" s="41"/>
    </x:row>
    <x:row r="23" ht="25" customHeight="1">
      <x:c r="A23" s="41"/>
      <x:c r="B23" s="63"/>
      <x:c r="C23" s="41"/>
      <x:c r="D23" s="41"/>
      <x:c r="E23" s="41"/>
      <x:c r="F23" s="41"/>
      <x:c r="G23" s="41"/>
      <x:c r="H23" s="41"/>
      <x:c r="I23" s="41"/>
    </x:row>
    <x:row r="24" ht="25" customHeight="1">
      <x:c r="A24" s="41"/>
      <x:c r="B24" s="63"/>
      <x:c r="C24" s="41"/>
      <x:c r="D24" s="41"/>
      <x:c r="E24" s="41"/>
      <x:c r="F24" s="41"/>
      <x:c r="G24" s="41"/>
      <x:c r="H24" s="189" t="str">
        <x:v>Selected payment</x:v>
      </x:c>
      <x:c r="I24" s="190" t="str">
        <x:v>USD</x:v>
      </x:c>
    </x:row>
    <x:row r="25" ht="25" customHeight="1">
      <x:c r="A25" s="41"/>
      <x:c r="B25" s="63"/>
      <x:c r="C25" s="41"/>
      <x:c r="D25" s="41"/>
      <x:c r="E25" s="41"/>
      <x:c r="F25" s="41"/>
      <x:c r="G25" s="41"/>
      <x:c r="H25" s="78" t="str">
        <x:v>Dec 3, 2026
Pulaski bridge</x:v>
      </x:c>
      <x:c r="I25" s="86" t="n">
        <x:f>D6</x:f>
        <x:v>261000000</x:v>
      </x:c>
    </x:row>
    <x:row r="26" ht="25" customHeight="1">
      <x:c r="A26" s="41"/>
      <x:c r="B26" s="63"/>
      <x:c r="C26" s="41"/>
      <x:c r="D26" s="41"/>
      <x:c r="E26" s="41"/>
      <x:c r="F26" s="41"/>
      <x:c r="G26" s="41"/>
      <x:c r="H26" s="78" t="str">
        <x:v>Dec 2026
Construction</x:v>
      </x:c>
      <x:c r="I26" s="86" t="n">
        <x:f>D7</x:f>
        <x:v>297000000</x:v>
      </x:c>
    </x:row>
    <x:row r="27" ht="25" customHeight="1">
      <x:c r="A27" s="41"/>
      <x:c r="B27" s="63"/>
      <x:c r="C27" s="41"/>
      <x:c r="D27" s="41"/>
      <x:c r="E27" s="41"/>
      <x:c r="F27" s="41"/>
      <x:c r="G27" s="41"/>
      <x:c r="H27" s="78" t="str">
        <x:v>Dec 30, 2026
Senior notes</x:v>
      </x:c>
      <x:c r="I27" s="86" t="n">
        <x:f>D8</x:f>
        <x:v>500000000</x:v>
      </x:c>
    </x:row>
    <x:row r="28" ht="25" customHeight="1">
      <x:c r="A28" s="41"/>
      <x:c r="B28" s="63"/>
      <x:c r="C28" s="41"/>
      <x:c r="D28" s="41"/>
      <x:c r="E28" s="41"/>
      <x:c r="F28" s="41"/>
      <x:c r="G28" s="41"/>
      <x:c r="H28" s="78" t="str">
        <x:v>Dec 31, 2026
Nuveen</x:v>
      </x:c>
      <x:c r="I28" s="86" t="n">
        <x:f>D9</x:f>
        <x:v>631000000</x:v>
      </x:c>
    </x:row>
    <x:row r="29" ht="25" customHeight="1">
      <x:c r="A29" s="41"/>
      <x:c r="B29" s="63"/>
      <x:c r="C29" s="41"/>
      <x:c r="D29" s="41"/>
      <x:c r="E29" s="41"/>
      <x:c r="F29" s="41"/>
      <x:c r="G29" s="41"/>
      <x:c r="H29" s="78" t="str">
        <x:v>Jan 30, 2027
Senior notes</x:v>
      </x:c>
      <x:c r="I29" s="86" t="n">
        <x:f>D10</x:f>
        <x:v>800000000</x:v>
      </x:c>
    </x:row>
    <x:row r="30" ht="25" customHeight="1">
      <x:c r="A30" s="41"/>
      <x:c r="B30" s="63"/>
      <x:c r="C30" s="41"/>
      <x:c r="D30" s="41"/>
      <x:c r="E30" s="41"/>
      <x:c r="F30" s="41"/>
      <x:c r="G30" s="41"/>
      <x:c r="H30" s="88" t="str">
        <x:v>Jul 31, 2027
Senior notes</x:v>
      </x:c>
      <x:c r="I30" s="109" t="n">
        <x:f>D11</x:f>
        <x:v>1300000000</x:v>
      </x:c>
    </x:row>
    <x:row r="31" ht="25" customHeight="1">
      <x:c r="A31" s="41"/>
      <x:c r="B31" s="63"/>
      <x:c r="C31" s="41"/>
      <x:c r="D31" s="41"/>
      <x:c r="E31" s="41"/>
      <x:c r="F31" s="41"/>
      <x:c r="G31" s="41"/>
      <x:c r="H31" s="41"/>
      <x:c r="I31" s="41"/>
    </x:row>
    <x:row r="32" ht="25" customHeight="1">
      <x:c r="A32" s="41"/>
      <x:c r="B32" s="63"/>
      <x:c r="C32" s="41"/>
      <x:c r="D32" s="41"/>
      <x:c r="E32" s="41"/>
      <x:c r="F32" s="41"/>
      <x:c r="G32" s="41"/>
      <x:c r="H32" s="41"/>
      <x:c r="I32" s="41"/>
    </x:row>
    <x:row r="33" ht="52" customHeight="1">
      <x:c r="A33" s="101" t="str">
        <x:v>Nuveen carrying liability</x:v>
      </x:c>
      <x:c r="B33" s="102" t="n">
        <x:f>IF(ISNUMBER(Data!B34),Data!B34,NA())</x:f>
        <x:v>613000000</x:v>
      </x:c>
      <x:c r="C33" s="41"/>
      <x:c r="D33" s="68" t="str">
        <x:v>Same obligation as the 631M final payment above; not added.</x:v>
      </x:c>
      <x:c r="E33" s="41"/>
      <x:c r="F33" s="41"/>
      <x:c r="G33" s="41"/>
      <x:c r="H33" s="41"/>
      <x:c r="I33" s="41"/>
    </x:row>
    <x:row r="34" ht="25" customHeight="1">
      <x:c r="A34" s="41"/>
      <x:c r="B34" s="63"/>
      <x:c r="C34" s="41"/>
      <x:c r="D34" s="41"/>
      <x:c r="E34" s="41"/>
      <x:c r="F34" s="41"/>
      <x:c r="G34" s="41"/>
      <x:c r="H34" s="41"/>
      <x:c r="I34" s="41"/>
    </x:row>
    <x:row r="35" ht="52" customHeight="1">
      <x:c r="A35" s="101" t="str">
        <x:v>Expected Cogentrix cash consideration</x:v>
      </x:c>
      <x:c r="B35" s="102" t="n">
        <x:f>IF(ISNUMBER(Data!B69),Data!B69,NA())</x:f>
        <x:v>2300000000</x:v>
      </x:c>
      <x:c r="C35" s="41"/>
      <x:c r="D35" s="68" t="str">
        <x:v>Late-2026 expected closing; conditions and adjustments apply. Exact payment date and completed closing Unavailable.</x:v>
      </x:c>
      <x:c r="E35" s="41"/>
      <x:c r="F35" s="41"/>
      <x:c r="G35" s="41"/>
      <x:c r="H35" s="41"/>
      <x:c r="I35" s="41"/>
    </x:row>
    <x:row r="36" ht="25" customHeight="1">
      <x:c r="A36" s="41"/>
      <x:c r="B36" s="63"/>
      <x:c r="C36" s="41"/>
      <x:c r="D36" s="41"/>
      <x:c r="E36" s="41"/>
      <x:c r="F36" s="41"/>
      <x:c r="G36" s="41"/>
      <x:c r="H36" s="41"/>
      <x:c r="I36" s="41"/>
    </x:row>
    <x:row r="37" ht="52" customHeight="1">
      <x:c r="A37" s="101" t="str">
        <x:v>Helix initial callable commitment</x:v>
      </x:c>
      <x:c r="B37" s="102" t="n">
        <x:f>IF(ISNUMBER(Data!B67),Data!B67,NA())</x:f>
        <x:v>500000000</x:v>
      </x:c>
      <x:c r="C37" s="41"/>
      <x:c r="D37" s="68" t="str">
        <x:v>Call date and amount funded to date Unavailable. Not assigned to December.</x:v>
      </x:c>
      <x:c r="E37" s="41"/>
      <x:c r="F37" s="41"/>
      <x:c r="G37" s="41"/>
      <x:c r="H37" s="41"/>
      <x:c r="I37" s="41"/>
    </x:row>
    <x:row r="38" ht="25" customHeight="1">
      <x:c r="A38" s="41"/>
      <x:c r="B38" s="63"/>
      <x:c r="C38" s="41"/>
      <x:c r="D38" s="41"/>
      <x:c r="E38" s="41"/>
      <x:c r="F38" s="41"/>
      <x:c r="G38" s="41"/>
      <x:c r="H38" s="41"/>
      <x:c r="I38" s="41"/>
    </x:row>
    <x:row r="39" ht="52" customHeight="1">
      <x:c r="A39" s="101" t="str">
        <x:v>Helix additional conditional commitment</x:v>
      </x:c>
      <x:c r="B39" s="102" t="n">
        <x:f>IF(ISNUMBER(Data!B68),Data!B68,NA())</x:f>
        <x:v>500000000</x:v>
      </x:c>
      <x:c r="C39" s="41"/>
      <x:c r="D39" s="68" t="str">
        <x:v>Milestones had not occurred at June 30; Vistra may elect to invest regardless.</x:v>
      </x:c>
      <x:c r="E39" s="41"/>
      <x:c r="F39" s="41"/>
      <x:c r="G39" s="41"/>
      <x:c r="H39" s="41"/>
      <x:c r="I39" s="41"/>
    </x:row>
    <x:row r="40" ht="25" customHeight="1">
      <x:c r="A40" s="41"/>
      <x:c r="B40" s="63"/>
      <x:c r="C40" s="41"/>
      <x:c r="D40" s="41"/>
      <x:c r="E40" s="41"/>
      <x:c r="F40" s="41"/>
      <x:c r="G40" s="41"/>
      <x:c r="H40" s="41"/>
      <x:c r="I40" s="41"/>
    </x:row>
    <x:row r="41" ht="25" customHeight="1">
      <x:c r="A41" s="41"/>
      <x:c r="B41" s="63"/>
      <x:c r="C41" s="41"/>
      <x:c r="D41" s="41"/>
      <x:c r="E41" s="41"/>
      <x:c r="F41" s="41"/>
      <x:c r="G41" s="41"/>
      <x:c r="H41" s="41"/>
      <x:c r="I41" s="41"/>
    </x:row>
    <x:row r="42" ht="25" customHeight="1">
      <x:c r="A42" s="41" t="str">
        <x:v>Historical annual schedule at Dec 31, 2025</x:v>
      </x:c>
      <x:c r="B42" s="63"/>
      <x:c r="C42" s="41"/>
      <x:c r="D42" s="41"/>
      <x:c r="E42" s="41"/>
      <x:c r="F42" s="41"/>
      <x:c r="G42" s="41"/>
      <x:c r="H42" s="41"/>
      <x:c r="I42" s="41"/>
    </x:row>
    <x:row r="43" ht="25" customHeight="1">
      <x:c r="A43" s="189" t="str">
        <x:v>Due year</x:v>
      </x:c>
      <x:c r="B43" s="203" t="str">
        <x:v>USD millions</x:v>
      </x:c>
      <x:c r="C43" s="190" t="str">
        <x:v>Basis</x:v>
      </x:c>
      <x:c r="D43" s="41"/>
      <x:c r="E43" s="41"/>
      <x:c r="F43" s="41"/>
      <x:c r="G43" s="41"/>
      <x:c r="H43" s="41"/>
      <x:c r="I43" s="41"/>
    </x:row>
    <x:row r="44" ht="40" customHeight="1">
      <x:c r="A44" s="78" t="n">
        <x:v>2026</x:v>
      </x:c>
      <x:c r="B44" s="95" t="n">
        <x:f>IF(ISNUMBER(Data!B70),Data!B70,NA())</x:f>
        <x:v>1201000000</x:v>
      </x:c>
      <x:c r="C44" s="96" t="str">
        <x:v>Historical principal schedule, not rolled forward to June.</x:v>
      </x:c>
      <x:c r="D44" s="41"/>
      <x:c r="E44" s="41"/>
      <x:c r="F44" s="41"/>
      <x:c r="G44" s="41"/>
      <x:c r="H44" s="41"/>
      <x:c r="I44" s="41"/>
    </x:row>
    <x:row r="45" ht="40" customHeight="1">
      <x:c r="A45" s="78" t="n">
        <x:v>2027</x:v>
      </x:c>
      <x:c r="B45" s="95" t="n">
        <x:f>IF(ISNUMBER(Data!B71),Data!B71,NA())</x:f>
        <x:v>3435000000</x:v>
      </x:c>
      <x:c r="C45" s="96" t="str">
        <x:v>Historical principal schedule, not rolled forward to June.</x:v>
      </x:c>
      <x:c r="D45" s="41"/>
      <x:c r="E45" s="41"/>
      <x:c r="F45" s="41"/>
      <x:c r="G45" s="41"/>
      <x:c r="H45" s="41"/>
      <x:c r="I45" s="41"/>
    </x:row>
    <x:row r="46" ht="40" customHeight="1">
      <x:c r="A46" s="78" t="n">
        <x:v>2028</x:v>
      </x:c>
      <x:c r="B46" s="95" t="n">
        <x:f>IF(ISNUMBER(Data!B72),Data!B72,NA())</x:f>
        <x:v>786000000</x:v>
      </x:c>
      <x:c r="C46" s="96" t="str">
        <x:v>Historical principal schedule, not rolled forward to June.</x:v>
      </x:c>
      <x:c r="D46" s="41"/>
      <x:c r="E46" s="41"/>
      <x:c r="F46" s="41"/>
      <x:c r="G46" s="41"/>
      <x:c r="H46" s="41"/>
      <x:c r="I46" s="41"/>
    </x:row>
    <x:row r="47" ht="40" customHeight="1">
      <x:c r="A47" s="78" t="n">
        <x:v>2029</x:v>
      </x:c>
      <x:c r="B47" s="95" t="n">
        <x:f>IF(ISNUMBER(Data!B73),Data!B73,NA())</x:f>
        <x:v>2362000000</x:v>
      </x:c>
      <x:c r="C47" s="96" t="str">
        <x:v>Historical principal schedule, not rolled forward to June.</x:v>
      </x:c>
      <x:c r="D47" s="41"/>
      <x:c r="E47" s="41"/>
      <x:c r="F47" s="41"/>
      <x:c r="G47" s="41"/>
      <x:c r="H47" s="41"/>
      <x:c r="I47" s="41"/>
    </x:row>
    <x:row r="48" ht="40" customHeight="1">
      <x:c r="A48" s="78" t="n">
        <x:v>2030</x:v>
      </x:c>
      <x:c r="B48" s="95" t="n">
        <x:f>IF(ISNUMBER(Data!B74),Data!B74,NA())</x:f>
        <x:v>2853000000</x:v>
      </x:c>
      <x:c r="C48" s="96" t="str">
        <x:v>Historical principal schedule, not rolled forward to June.</x:v>
      </x:c>
      <x:c r="D48" s="41"/>
      <x:c r="E48" s="41"/>
      <x:c r="F48" s="41"/>
      <x:c r="G48" s="41"/>
      <x:c r="H48" s="41"/>
      <x:c r="I48" s="41"/>
    </x:row>
    <x:row r="49" ht="40" customHeight="1">
      <x:c r="A49" s="78" t="str">
        <x:v>Thereafter</x:v>
      </x:c>
      <x:c r="B49" s="95" t="n">
        <x:f>IF(ISNUMBER(Data!B75),Data!B75,NA())</x:f>
        <x:v>6559000000</x:v>
      </x:c>
      <x:c r="C49" s="96" t="str">
        <x:v>Historical principal schedule, not rolled forward to June.</x:v>
      </x:c>
      <x:c r="D49" s="41"/>
      <x:c r="E49" s="41"/>
      <x:c r="F49" s="41"/>
      <x:c r="G49" s="41"/>
      <x:c r="H49" s="41"/>
      <x:c r="I49" s="41"/>
    </x:row>
    <x:row r="50" ht="25" customHeight="1">
      <x:c r="A50" s="90" t="str">
        <x:v>Calculated annual principal</x:v>
      </x:c>
      <x:c r="B50" s="207" t="n">
        <x:f>SUM(B44:B49)</x:f>
        <x:v>17196000000</x:v>
      </x:c>
      <x:c r="C50" s="106"/>
      <x:c r="D50" s="41"/>
      <x:c r="E50" s="41"/>
      <x:c r="F50" s="41"/>
      <x:c r="G50" s="41"/>
      <x:c r="H50" s="41"/>
      <x:c r="I50" s="41"/>
    </x:row>
    <x:row r="51" ht="25" customHeight="1">
      <x:c r="A51" s="78" t="str">
        <x:v>Less annual premiums, discounts and costs</x:v>
      </x:c>
      <x:c r="B51" s="95" t="n">
        <x:f>IF(ISNUMBER(Data!B77),Data!B77,NA())</x:f>
        <x:v>153000000</x:v>
      </x:c>
      <x:c r="C51" s="106"/>
      <x:c r="D51" s="41"/>
      <x:c r="E51" s="41"/>
      <x:c r="F51" s="41"/>
      <x:c r="G51" s="41"/>
      <x:c r="H51" s="41"/>
      <x:c r="I51" s="41"/>
    </x:row>
    <x:row r="52" ht="25" customHeight="1">
      <x:c r="A52" s="90" t="str">
        <x:v>Calculated annual carrying debt</x:v>
      </x:c>
      <x:c r="B52" s="207" t="n">
        <x:f>B50-B51</x:f>
        <x:v>17043000000</x:v>
      </x:c>
      <x:c r="C52" s="106"/>
      <x:c r="D52" s="41"/>
      <x:c r="E52" s="41"/>
      <x:c r="F52" s="41"/>
      <x:c r="G52" s="41"/>
      <x:c r="H52" s="41"/>
      <x:c r="I52" s="41"/>
    </x:row>
    <x:row r="53" ht="25" customHeight="1">
      <x:c r="A53" s="78" t="str">
        <x:v>Reported annual carrying debt</x:v>
      </x:c>
      <x:c r="B53" s="95" t="n">
        <x:f>IF(ISNUMBER(Data!B76),Data!B76,NA())</x:f>
        <x:v>17043000000</x:v>
      </x:c>
      <x:c r="C53" s="106"/>
      <x:c r="D53" s="41"/>
      <x:c r="E53" s="41"/>
      <x:c r="F53" s="41"/>
      <x:c r="G53" s="41"/>
      <x:c r="H53" s="41"/>
      <x:c r="I53" s="41"/>
    </x:row>
    <x:row r="54" ht="25" customHeight="1">
      <x:c r="A54" s="88" t="str">
        <x:v>Annual carrying reconciliation difference</x:v>
      </x:c>
      <x:c r="B54" s="107" t="n">
        <x:f>B52-B53</x:f>
        <x:v>0</x:v>
      </x:c>
      <x:c r="C54" s="108"/>
      <x:c r="D54" s="41"/>
      <x:c r="E54" s="41"/>
      <x:c r="F54" s="41"/>
      <x:c r="G54" s="41"/>
      <x:c r="H54" s="41"/>
      <x:c r="I54" s="41"/>
    </x:row>
    <x:row r="55" ht="25" customHeight="1">
      <x:c r="A55" s="41"/>
      <x:c r="B55" s="41"/>
      <x:c r="C55" s="41"/>
      <x:c r="D55" s="41"/>
      <x:c r="E55" s="41"/>
      <x:c r="F55" s="41"/>
      <x:c r="G55" s="41"/>
      <x:c r="H55" s="41"/>
      <x:c r="I55" s="41"/>
    </x:row>
    <x:row r="56" ht="25" customHeight="1">
      <x:c r="A56" s="41" t="str">
        <x:v>No full remaining June debt-service schedule or overall future repayment surplus is inferred.</x:v>
      </x:c>
      <x:c r="B56" s="41"/>
      <x:c r="C56" s="41"/>
      <x:c r="D56" s="41"/>
      <x:c r="E56" s="41"/>
      <x:c r="F56" s="41"/>
      <x:c r="G56" s="41"/>
      <x:c r="H56" s="41"/>
      <x:c r="I56" s="41"/>
    </x:row>
  </x:sheetData>
  <x:pageMargins left="0.7" right="0.7" top="0.75" bottom="0.75" header="0.3" footer="0.3"/>
  <x:drawing xmlns:r="http://schemas.openxmlformats.org/officeDocument/2006/relationships" r:id="R06ffa364a14a4bfc"/>
</x:worksheet>
</file>

<file path=xl/worksheets/sheet8.xml><?xml version="1.0" encoding="utf-8"?>
<x:worksheet xmlns:x="http://schemas.openxmlformats.org/spreadsheetml/2006/main">
  <x:sheetViews>
    <x:sheetView showGridLines="0" workbookViewId="0"/>
  </x:sheetViews>
  <x:sheetFormatPr defaultRowHeight="15"/>
  <x:cols>
    <x:col min="1" max="1" width="50" hidden="0" customWidth="1"/>
    <x:col min="2" max="2" width="21" hidden="0" customWidth="1"/>
    <x:col min="3" max="3" width="21" hidden="0" customWidth="1"/>
    <x:col min="4" max="4" width="50" hidden="0" customWidth="1"/>
    <x:col min="5" max="5" width="75" hidden="0" customWidth="1"/>
  </x:cols>
  <x:sheetData>
    <x:row r="2" ht="25" customHeight="1">
      <x:c r="A2" s="61" t="str">
        <x:v>Vistra funding resources and conditions</x:v>
      </x:c>
      <x:c r="B2" s="41"/>
      <x:c r="C2" s="41"/>
      <x:c r="D2" s="41"/>
      <x:c r="E2" s="41"/>
    </x:row>
    <x:row r="3" ht="25" customHeight="1">
      <x:c r="A3" s="62" t="str">
        <x:v>Reported available capacity at June 30, 2026. USD millions. Current drawable capacity is Unavailable.</x:v>
      </x:c>
      <x:c r="B3" s="41"/>
      <x:c r="C3" s="41"/>
      <x:c r="D3" s="41"/>
      <x:c r="E3" s="41"/>
    </x:row>
    <x:row r="4" ht="25" customHeight="1">
      <x:c r="A4" s="41"/>
      <x:c r="B4" s="41"/>
      <x:c r="C4" s="41"/>
      <x:c r="D4" s="41"/>
      <x:c r="E4" s="41"/>
    </x:row>
    <x:row r="5" ht="25" customHeight="1">
      <x:c r="A5" s="189" t="str">
        <x:v>Resource</x:v>
      </x:c>
      <x:c r="B5" s="193" t="str">
        <x:v>June available</x:v>
      </x:c>
      <x:c r="C5" s="193" t="str">
        <x:v>Current drawable</x:v>
      </x:c>
      <x:c r="D5" s="193" t="str">
        <x:v>Borrower / scope</x:v>
      </x:c>
      <x:c r="E5" s="190" t="str">
        <x:v>Conditions</x:v>
      </x:c>
    </x:row>
    <x:row r="6" ht="90" customHeight="1">
      <x:c r="A6" s="93" t="str">
        <x:v>Cash and equivalents</x:v>
      </x:c>
      <x:c r="B6" s="110" t="n">
        <x:f>IF(ISNUMBER(Data!B31),Data!B31,NA())</x:f>
        <x:v>435000000</x:v>
      </x:c>
      <x:c r="C6" s="111" t="str">
        <x:v>Unavailable</x:v>
      </x:c>
      <x:c r="D6" s="111" t="str">
        <x:v>Vistra consolidated</x:v>
      </x:c>
      <x:c r="E6" s="96" t="str">
        <x:v>Cash excludes 46M restricted cash. Cash located at Parent and amounts transferable from each subsidiary are Unavailable.</x:v>
      </x:c>
    </x:row>
    <x:row r="7" ht="90" customHeight="1">
      <x:c r="A7" s="93" t="str">
        <x:v>Corporate revolver</x:v>
      </x:c>
      <x:c r="B7" s="110" t="n">
        <x:f>IF(ISNUMBER(Data!B59),Data!B59,NA())</x:f>
        <x:v>4408000000</x:v>
      </x:c>
      <x:c r="C7" s="111" t="str">
        <x:v>Unavailable</x:v>
      </x:c>
      <x:c r="D7" s="111" t="str">
        <x:v>Vistra Operations</x:v>
      </x:c>
      <x:c r="E7" s="96" t="str">
        <x:v>General corporate purposes, including permitted acquisitions and restricted payments (§9.13). Borrowing conditions and distribution restrictions still apply.</x:v>
      </x:c>
    </x:row>
    <x:row r="8" ht="90" customHeight="1">
      <x:c r="A8" s="93" t="str">
        <x:v>Commodity-linked facility</x:v>
      </x:c>
      <x:c r="B8" s="110" t="n">
        <x:f>IF(ISNUMBER(Data!B63),Data!B63,NA())</x:f>
        <x:v>1452000000</x:v>
      </x:c>
      <x:c r="C8" s="111" t="str">
        <x:v>Unavailable</x:v>
      </x:c>
      <x:c r="D8" s="111" t="str">
        <x:v>Vistra Operations</x:v>
      </x:c>
      <x:c r="E8" s="96" t="str">
        <x:v>Supports commodity collateral, working capital and general corporate purposes. Weekly hedge-based borrowing base can fall and require repayment. June capacity is not a later commitment to lend that amount.</x:v>
      </x:c>
    </x:row>
    <x:row r="9" ht="90" customHeight="1">
      <x:c r="A9" s="93" t="str">
        <x:v>Receivables facility</x:v>
      </x:c>
      <x:c r="B9" s="112"/>
      <x:c r="C9" s="111" t="str">
        <x:v>Unavailable</x:v>
      </x:c>
      <x:c r="D9" s="111" t="str">
        <x:v>TXU Energy Receivables Company</x:v>
      </x:c>
      <x:c r="E9" s="96" t="str">
        <x:v>Purchase limit rose to 1.25B on July 10, due July 9, 2027. June borrowings 300M. Eligible receivables, advance conditions and a contemporaneous drawing balance are needed; 1.25B less June borrowings is not drawable capacity.</x:v>
      </x:c>
    </x:row>
    <x:row r="10" ht="90" customHeight="1">
      <x:c r="A10" s="93" t="str">
        <x:v>Repurchase facility</x:v>
      </x:c>
      <x:c r="B10" s="112"/>
      <x:c r="C10" s="111" t="str">
        <x:v>Unavailable</x:v>
      </x:c>
      <x:c r="D10" s="111" t="str">
        <x:v>TXU Energy and originators</x:v>
      </x:c>
      <x:c r="E10" s="96" t="str">
        <x:v>125M uncommitted program, extended to July 9, 2027. Secured by the receivables program’s subordinated note. June drawings were zero; no guaranteed cash availability or independent collateral pool is established.</x:v>
      </x:c>
    </x:row>
    <x:row r="11" ht="90" customHeight="1">
      <x:c r="A11" s="93" t="str">
        <x:v>BCOP facilities</x:v>
      </x:c>
      <x:c r="B11" s="110" t="n">
        <x:f>IF(ISNUMBER(Data!B64),Data!B64,NA())</x:f>
        <x:v>0</x:v>
      </x:c>
      <x:c r="C11" s="111" t="str">
        <x:v>Unavailable</x:v>
      </x:c>
      <x:c r="D11" s="111" t="str">
        <x:v>BCOP project subsidiaries</x:v>
      </x:c>
      <x:c r="E11" s="96" t="str">
        <x:v>Zero unused capacity in the June table. Project assets and cash flows service project debt; Pulaski bridge has a Vistra guarantee. The rest is otherwise non-recourse to Vistra Operations and its other subsidiaries.</x:v>
      </x:c>
    </x:row>
    <x:row r="12" ht="90" customHeight="1">
      <x:c r="A12" s="93" t="str">
        <x:v>Vistra Zero term loan</x:v>
      </x:c>
      <x:c r="B12" s="110" t="n">
        <x:f>IF(ISNUMBER(Data!B65),Data!B65,NA())</x:f>
        <x:v>0</x:v>
      </x:c>
      <x:c r="C12" s="111" t="str">
        <x:v>Unavailable</x:v>
      </x:c>
      <x:c r="D12" s="111" t="str">
        <x:v>Vistra Zero Operating</x:v>
      </x:c>
      <x:c r="E12" s="96" t="str">
        <x:v>Zero unused capacity in the June table; 697M is already drawn and included in debt. Subsidiary guarantees and project security; otherwise non-recourse to Vistra Operations and its other subsidiaries.</x:v>
      </x:c>
    </x:row>
    <x:row r="13" ht="90" customHeight="1">
      <x:c r="A13" s="97" t="str">
        <x:v>Texas Energy Fund loan</x:v>
      </x:c>
      <x:c r="B13" s="113" t="n">
        <x:f>IF(ISNUMBER(Data!B66),Data!B66,NA())</x:f>
        <x:v>0</x:v>
      </x:c>
      <x:c r="C13" s="114" t="str">
        <x:v>Unavailable</x:v>
      </x:c>
      <x:c r="D13" s="114" t="str">
        <x:v>Permian Power</x:v>
      </x:c>
      <x:c r="E13" s="100" t="str">
        <x:v>June table shows 172M drawn and zero unused capacity. The broader 583M development agreement does not establish freely drawable funds. Project use, security and conditions apply; otherwise non-recourse to Vistra Operations and its other subsidiaries.</x:v>
      </x:c>
    </x:row>
    <x:row r="14" ht="25" customHeight="1">
      <x:c r="A14" s="41"/>
      <x:c r="B14" s="63"/>
      <x:c r="C14" s="41"/>
      <x:c r="D14" s="41"/>
      <x:c r="E14" s="41"/>
    </x:row>
    <x:row r="15" ht="25" customHeight="1">
      <x:c r="A15" s="41"/>
      <x:c r="B15" s="63"/>
      <x:c r="C15" s="41"/>
      <x:c r="D15" s="41"/>
      <x:c r="E15" s="41"/>
    </x:row>
    <x:row r="16" ht="25" customHeight="1">
      <x:c r="A16" s="204" t="str">
        <x:v>Calculated June reported liquidity</x:v>
      </x:c>
      <x:c r="B16" s="205" t="n">
        <x:f>SUM(B6:B8)</x:f>
        <x:v>6295000000</x:v>
      </x:c>
      <x:c r="C16" s="41"/>
      <x:c r="D16" s="41"/>
      <x:c r="E16" s="41"/>
    </x:row>
    <x:row r="17" ht="25" customHeight="1">
      <x:c r="A17" s="41"/>
      <x:c r="B17" s="63"/>
      <x:c r="C17" s="41"/>
      <x:c r="D17" s="41"/>
      <x:c r="E17" s="41"/>
    </x:row>
    <x:row r="18" ht="25" customHeight="1">
      <x:c r="A18" s="82" t="str">
        <x:v>Revolver commitment</x:v>
      </x:c>
      <x:c r="B18" s="83" t="n">
        <x:f>IF(ISNUMBER(Data!B56),Data!B56,NA())</x:f>
        <x:v>5500000000</x:v>
      </x:c>
      <x:c r="C18" s="41"/>
      <x:c r="D18" s="41"/>
      <x:c r="E18" s="41"/>
    </x:row>
    <x:row r="19" ht="25" customHeight="1">
      <x:c r="A19" s="78" t="str">
        <x:v>Less revolving borrowings</x:v>
      </x:c>
      <x:c r="B19" s="79" t="n">
        <x:f>IF(ISNUMBER(Data!B57),Data!B57,NA())</x:f>
        <x:v>0</x:v>
      </x:c>
      <x:c r="C19" s="41"/>
      <x:c r="D19" s="41"/>
      <x:c r="E19" s="41"/>
    </x:row>
    <x:row r="20" ht="25" customHeight="1">
      <x:c r="A20" s="78" t="str">
        <x:v>Less revolver letters of credit</x:v>
      </x:c>
      <x:c r="B20" s="79" t="n">
        <x:f>IF(ISNUMBER(Data!B58),Data!B58,NA())</x:f>
        <x:v>1092000000</x:v>
      </x:c>
      <x:c r="C20" s="41"/>
      <x:c r="D20" s="41"/>
      <x:c r="E20" s="41"/>
    </x:row>
    <x:row r="21" ht="25" customHeight="1">
      <x:c r="A21" s="90" t="str">
        <x:v>Calculated revolver availability</x:v>
      </x:c>
      <x:c r="B21" s="91" t="n">
        <x:f>B18-B19-B20</x:f>
        <x:v>4408000000</x:v>
      </x:c>
      <x:c r="C21" s="41"/>
      <x:c r="D21" s="41"/>
      <x:c r="E21" s="41"/>
    </x:row>
    <x:row r="22" ht="25" customHeight="1">
      <x:c r="A22" s="78" t="str">
        <x:v>Reported revolver availability</x:v>
      </x:c>
      <x:c r="B22" s="79" t="n">
        <x:f>IF(ISNUMBER(Data!B59),Data!B59,NA())</x:f>
        <x:v>4408000000</x:v>
      </x:c>
      <x:c r="C22" s="41"/>
      <x:c r="D22" s="41"/>
      <x:c r="E22" s="41"/>
    </x:row>
    <x:row r="23" ht="25" customHeight="1">
      <x:c r="A23" s="88" t="str">
        <x:v>Revolver reconciliation difference</x:v>
      </x:c>
      <x:c r="B23" s="89" t="n">
        <x:f>B21-B22</x:f>
        <x:v>0</x:v>
      </x:c>
      <x:c r="C23" s="41"/>
      <x:c r="D23" s="41"/>
      <x:c r="E23" s="41"/>
    </x:row>
    <x:row r="24" ht="25" customHeight="1">
      <x:c r="A24" s="41"/>
      <x:c r="B24" s="63"/>
      <x:c r="C24" s="41"/>
      <x:c r="D24" s="41"/>
      <x:c r="E24" s="41"/>
    </x:row>
    <x:row r="25" ht="25" customHeight="1">
      <x:c r="A25" s="82" t="str">
        <x:v>Commodity-linked commitment</x:v>
      </x:c>
      <x:c r="B25" s="83" t="n">
        <x:f>IF(ISNUMBER(Data!B60),Data!B60,NA())</x:f>
        <x:v>1750000000</x:v>
      </x:c>
      <x:c r="C25" s="41"/>
      <x:c r="D25" s="41"/>
      <x:c r="E25" s="41"/>
    </x:row>
    <x:row r="26" ht="45" customHeight="1">
      <x:c r="A26" s="88" t="str">
        <x:v>Commodity-linked reported availability</x:v>
      </x:c>
      <x:c r="B26" s="116" t="n">
        <x:f>IF(ISNUMBER(Data!B63),Data!B63,NA())</x:f>
        <x:v>1452000000</x:v>
      </x:c>
      <x:c r="C26" s="41"/>
      <x:c r="D26" s="68" t="str">
        <x:v>Weekly borrowing base is lower than commitment. Do not use 1.75B as available cash.</x:v>
      </x:c>
      <x:c r="E26" s="41"/>
    </x:row>
    <x:row r="27" ht="25" customHeight="1">
      <x:c r="A27" s="41"/>
      <x:c r="B27" s="63"/>
      <x:c r="C27" s="41"/>
      <x:c r="D27" s="41"/>
      <x:c r="E27" s="41"/>
    </x:row>
    <x:row r="28" ht="25" customHeight="1">
      <x:c r="A28" s="82" t="str">
        <x:v>Other LOC facilities</x:v>
      </x:c>
      <x:c r="B28" s="83" t="n">
        <x:f>IF(ISNUMBER(Data!B53),Data!B53,NA())</x:f>
        <x:v>1759000000</x:v>
      </x:c>
      <x:c r="C28" s="41"/>
      <x:c r="D28" s="41"/>
      <x:c r="E28" s="41"/>
    </x:row>
    <x:row r="29" ht="25" customHeight="1">
      <x:c r="A29" s="78" t="str">
        <x:v>Alternative LOC facilities</x:v>
      </x:c>
      <x:c r="B29" s="79" t="n">
        <x:f>IF(ISNUMBER(Data!B54),Data!B54,NA())</x:f>
        <x:v>736000000</x:v>
      </x:c>
      <x:c r="C29" s="41"/>
      <x:c r="D29" s="41"/>
      <x:c r="E29" s="41"/>
    </x:row>
    <x:row r="30" ht="25" customHeight="1">
      <x:c r="A30" s="90" t="str">
        <x:v>Calculated LOC total</x:v>
      </x:c>
      <x:c r="B30" s="91" t="n">
        <x:f>B20+B28+B29</x:f>
        <x:v>3587000000</x:v>
      </x:c>
      <x:c r="C30" s="41"/>
      <x:c r="D30" s="41"/>
      <x:c r="E30" s="41"/>
    </x:row>
    <x:row r="31" ht="25" customHeight="1">
      <x:c r="A31" s="78" t="str">
        <x:v>Reported LOC total</x:v>
      </x:c>
      <x:c r="B31" s="79" t="n">
        <x:f>IF(ISNUMBER(Data!B55),Data!B55,NA())</x:f>
        <x:v>3587000000</x:v>
      </x:c>
      <x:c r="C31" s="41"/>
      <x:c r="D31" s="41"/>
      <x:c r="E31" s="41"/>
    </x:row>
    <x:row r="32" ht="25" customHeight="1">
      <x:c r="A32" s="88" t="str">
        <x:v>LOC reconciliation difference</x:v>
      </x:c>
      <x:c r="B32" s="89" t="n">
        <x:f>B30-B31</x:f>
        <x:v>0</x:v>
      </x:c>
      <x:c r="C32" s="41"/>
      <x:c r="D32" s="41"/>
      <x:c r="E32" s="41"/>
    </x:row>
    <x:row r="33" ht="25" customHeight="1">
      <x:c r="A33" s="41"/>
      <x:c r="B33" s="63"/>
      <x:c r="C33" s="41"/>
      <x:c r="D33" s="41"/>
      <x:c r="E33" s="41"/>
    </x:row>
    <x:row r="34" ht="25" customHeight="1">
      <x:c r="A34" s="82" t="str">
        <x:v>Project debt already in baseline borrowing</x:v>
      </x:c>
      <x:c r="B34" s="83" t="n">
        <x:f>IF(ISNUMBER(Data!B41),Data!B41,NA())</x:f>
        <x:v>1633000000</x:v>
      </x:c>
      <x:c r="C34" s="41"/>
      <x:c r="D34" s="41"/>
      <x:c r="E34" s="41"/>
    </x:row>
    <x:row r="35" ht="25" customHeight="1">
      <x:c r="A35" s="78" t="str">
        <x:v>Vistra Operations principal</x:v>
      </x:c>
      <x:c r="B35" s="79" t="n">
        <x:f>IF(ISNUMBER(Data!B42),Data!B42,NA())</x:f>
        <x:v>18131000000</x:v>
      </x:c>
      <x:c r="C35" s="41"/>
      <x:c r="D35" s="41"/>
      <x:c r="E35" s="41"/>
    </x:row>
    <x:row r="36" ht="25" customHeight="1">
      <x:c r="A36" s="90" t="str">
        <x:v>Calculated long-term principal</x:v>
      </x:c>
      <x:c r="B36" s="91" t="n">
        <x:f>B34+B35</x:f>
        <x:v>19764000000</x:v>
      </x:c>
      <x:c r="C36" s="41"/>
      <x:c r="D36" s="41"/>
      <x:c r="E36" s="41"/>
    </x:row>
    <x:row r="37" ht="25" customHeight="1">
      <x:c r="A37" s="78" t="str">
        <x:v>Less unamortized premiums/discounts/costs</x:v>
      </x:c>
      <x:c r="B37" s="79" t="n">
        <x:f>IF(ISNUMBER(Data!B36),Data!B36,NA())</x:f>
        <x:v>169000000</x:v>
      </x:c>
      <x:c r="C37" s="41"/>
      <x:c r="D37" s="41"/>
      <x:c r="E37" s="41"/>
    </x:row>
    <x:row r="38" ht="25" customHeight="1">
      <x:c r="A38" s="90" t="str">
        <x:v>Calculated long-term carrying debt</x:v>
      </x:c>
      <x:c r="B38" s="91" t="n">
        <x:f>B36-B37</x:f>
        <x:v>19595000000</x:v>
      </x:c>
      <x:c r="C38" s="41"/>
      <x:c r="D38" s="41"/>
      <x:c r="E38" s="41"/>
    </x:row>
    <x:row r="39" ht="25" customHeight="1">
      <x:c r="A39" s="78" t="str">
        <x:v>Reported long-term carrying debt</x:v>
      </x:c>
      <x:c r="B39" s="79" t="n">
        <x:f>IF(ISNUMBER(Data!B35),Data!B35,NA())</x:f>
        <x:v>19595000000</x:v>
      </x:c>
      <x:c r="C39" s="41"/>
      <x:c r="D39" s="41"/>
      <x:c r="E39" s="41"/>
    </x:row>
    <x:row r="40" ht="25" customHeight="1">
      <x:c r="A40" s="78" t="str">
        <x:v>Long-term debt reconciliation difference</x:v>
      </x:c>
      <x:c r="B40" s="87" t="n">
        <x:f>B38-B39</x:f>
        <x:v>0</x:v>
      </x:c>
      <x:c r="C40" s="41"/>
      <x:c r="D40" s="41"/>
      <x:c r="E40" s="41"/>
    </x:row>
    <x:row r="41" ht="25" customHeight="1">
      <x:c r="A41" s="78" t="str">
        <x:v>Receivables financing outstanding</x:v>
      </x:c>
      <x:c r="B41" s="79" t="n">
        <x:f>IF(ISNUMBER(Data!B37),Data!B37,NA())</x:f>
        <x:v>300000000</x:v>
      </x:c>
      <x:c r="C41" s="41"/>
      <x:c r="D41" s="41"/>
      <x:c r="E41" s="41"/>
    </x:row>
    <x:row r="42" ht="25" customHeight="1">
      <x:c r="A42" s="204" t="str">
        <x:v>Baseline gross borrowing</x:v>
      </x:c>
      <x:c r="B42" s="205" t="n">
        <x:f>B38+B41</x:f>
        <x:v>19895000000</x:v>
      </x:c>
      <x:c r="C42" s="41"/>
      <x:c r="D42" s="41"/>
      <x:c r="E42" s="41"/>
    </x:row>
    <x:row r="43" ht="25" customHeight="1">
      <x:c r="A43" s="41"/>
      <x:c r="B43" s="63"/>
      <x:c r="C43" s="41"/>
      <x:c r="D43" s="41"/>
      <x:c r="E43" s="41"/>
    </x:row>
    <x:row r="44" ht="25" customHeight="1">
      <x:c r="A44" s="82" t="str">
        <x:v>Margin cash already posted</x:v>
      </x:c>
      <x:c r="B44" s="83" t="n">
        <x:f>IF(ISNUMBER(Data!B39),Data!B39,NA())</x:f>
        <x:v>1436000000</x:v>
      </x:c>
      <x:c r="C44" s="41"/>
      <x:c r="D44" s="41" t="str">
        <x:v>Posted assets are not extra cash available for repayments.</x:v>
      </x:c>
      <x:c r="E44" s="41"/>
    </x:row>
    <x:row r="45" ht="25" customHeight="1">
      <x:c r="A45" s="88" t="str">
        <x:v>Affiliate-financed assets already posted</x:v>
      </x:c>
      <x:c r="B45" s="116" t="n">
        <x:f>IF(ISNUMBER(Data!B40),Data!B40,NA())</x:f>
        <x:v>438000000</x:v>
      </x:c>
      <x:c r="C45" s="41"/>
      <x:c r="D45" s="41"/>
      <x:c r="E45" s="41"/>
    </x:row>
    <x:row r="46">
      <x:c r="B46" s="67"/>
    </x:row>
    <x:row r="47">
      <x:c r="B47" s="67"/>
    </x:row>
    <x:row r="48">
      <x:c r="B48" s="67"/>
    </x:row>
    <x:row r="49">
      <x:c r="B49" s="67"/>
    </x:row>
    <x:row r="50">
      <x:c r="B50" s="67"/>
    </x:row>
    <x:row r="51">
      <x:c r="B51" s="67"/>
    </x:row>
    <x:row r="52">
      <x:c r="B52" s="67"/>
    </x:row>
    <x:row r="53">
      <x:c r="B53" s="67"/>
    </x:row>
    <x:row r="54">
      <x:c r="B54" s="67"/>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 hidden="0" customWidth="1"/>
    <x:col min="2" max="2" width="21" hidden="0" customWidth="1"/>
    <x:col min="3" max="3" width="55" hidden="0" customWidth="1"/>
    <x:col min="4" max="4" width="20" hidden="0" customWidth="1"/>
    <x:col min="5" max="5" width="20" hidden="0" customWidth="1"/>
    <x:col min="6" max="6" width="20" hidden="0" customWidth="1"/>
    <x:col min="7" max="7" width="20" hidden="0" customWidth="1"/>
    <x:col min="8" max="8" width="32" hidden="0" customWidth="1"/>
    <x:col min="9" max="9" width="65" hidden="0" customWidth="1"/>
    <x:col min="10" max="10" width="65" hidden="0" customWidth="1"/>
    <x:col min="11" max="11" width="65" hidden="0" customWidth="1"/>
    <x:col min="12" max="12" width="12" hidden="0" customWidth="1"/>
    <x:col min="13" max="13" width="12" hidden="0" customWidth="1"/>
    <x:col min="14" max="14" width="75" hidden="0" customWidth="1"/>
    <x:col min="15" max="15" width="75" hidden="0" customWidth="1"/>
    <x:col min="16" max="16" width="75" hidden="0" customWidth="1"/>
    <x:col min="17" max="17" width="50" hidden="0" customWidth="1"/>
    <x:col min="18" max="18" width="80" hidden="0" customWidth="1"/>
  </x:cols>
  <x:sheetData>
    <x:row r="1" ht="52" customHeight="1">
      <x:c r="A1" s="134" t="str">
        <x:v>Input</x:v>
      </x:c>
      <x:c r="B1" s="135" t="str">
        <x:v>USD, displayed millions</x:v>
      </x:c>
      <x:c r="C1" s="135" t="str">
        <x:v>Description</x:v>
      </x:c>
      <x:c r="D1" s="135" t="str">
        <x:v>Period from</x:v>
      </x:c>
      <x:c r="E1" s="135" t="str">
        <x:v>Period through</x:v>
      </x:c>
      <x:c r="F1" s="135" t="str">
        <x:v>Form</x:v>
      </x:c>
      <x:c r="G1" s="135" t="str">
        <x:v>Filed</x:v>
      </x:c>
      <x:c r="H1" s="135" t="str">
        <x:v>Accession</x:v>
      </x:c>
      <x:c r="I1" s="135" t="str">
        <x:v>Tag</x:v>
      </x:c>
      <x:c r="J1" s="135" t="str">
        <x:v>Context</x:v>
      </x:c>
      <x:c r="K1" s="135" t="str">
        <x:v>Dimensions</x:v>
      </x:c>
      <x:c r="L1" s="135" t="str">
        <x:v>Scale</x:v>
      </x:c>
      <x:c r="M1" s="135" t="str">
        <x:v>Decimals</x:v>
      </x:c>
      <x:c r="N1" s="135" t="str">
        <x:v>Source</x:v>
      </x:c>
      <x:c r="O1" s="135" t="str">
        <x:v>Location</x:v>
      </x:c>
      <x:c r="P1" s="135" t="str">
        <x:v>Reason if unavailable</x:v>
      </x:c>
      <x:c r="Q1" s="135" t="str">
        <x:v>Reviewed source SHA256</x:v>
      </x:c>
      <x:c r="R1" s="136" t="str">
        <x:v>Unit and selection rule</x:v>
      </x:c>
    </x:row>
    <x:row r="2" ht="52" customHeight="1">
      <x:c r="A2" s="93" t="str">
        <x:v>ocf</x:v>
      </x:c>
      <x:c r="B2" s="121" t="n">
        <x:v>2222000000</x:v>
      </x:c>
      <x:c r="C2" s="111" t="str">
        <x:v>Operating cash flow</x:v>
      </x:c>
      <x:c r="D2" s="122" t="d">
        <x:v>2026-01-01T00:00:00.000Z</x:v>
      </x:c>
      <x:c r="E2" s="122" t="d">
        <x:v>2026-06-30T00:00:00.000Z</x:v>
      </x:c>
      <x:c r="F2" s="111" t="str">
        <x:v>10-Q</x:v>
      </x:c>
      <x:c r="G2" s="122" t="d">
        <x:v>2026-08-10T00:00:00.000Z</x:v>
      </x:c>
      <x:c r="H2" s="111" t="str">
        <x:v>0001692819-26-000019</x:v>
      </x:c>
      <x:c r="I2" s="111" t="str">
        <x:v>us-gaap:NetCashProvidedByUsedInOperatingActivities</x:v>
      </x:c>
      <x:c r="J2" s="111" t="str">
        <x:v>c-1</x:v>
      </x:c>
      <x:c r="K2" s="111" t="str">
        <x:v>[]</x:v>
      </x:c>
      <x:c r="L2" s="111" t="n">
        <x:v>6</x:v>
      </x:c>
      <x:c r="M2" s="111" t="str">
        <x:v>-6</x:v>
      </x:c>
      <x:c r="N2" s="111" t="str">
        <x:v>https://www.sec.gov/Archives/edgar/data/1692819/000169281926000019/vistra-20260630.htm</x:v>
      </x:c>
      <x:c r="O2" s="111" t="str">
        <x:v>10-Q cash flows, pp. 4–5</x:v>
      </x:c>
      <x:c r="P2" s="111"/>
      <x:c r="Q2" s="111"/>
      <x:c r="R2" s="96"/>
    </x:row>
    <x:row r="3" ht="52" customHeight="1">
      <x:c r="A3" s="93" t="str">
        <x:v>capex</x:v>
      </x:c>
      <x:c r="B3" s="121" t="n">
        <x:v>1572000000</x:v>
      </x:c>
      <x:c r="C3" s="111" t="str">
        <x:v>Capital spending, including nuclear fuel and LTSA prepayments</x:v>
      </x:c>
      <x:c r="D3" s="122" t="d">
        <x:v>2026-01-01T00:00:00.000Z</x:v>
      </x:c>
      <x:c r="E3" s="122" t="d">
        <x:v>2026-06-30T00:00:00.000Z</x:v>
      </x:c>
      <x:c r="F3" s="111" t="str">
        <x:v>10-Q</x:v>
      </x:c>
      <x:c r="G3" s="122" t="d">
        <x:v>2026-08-10T00:00:00.000Z</x:v>
      </x:c>
      <x:c r="H3" s="111" t="str">
        <x:v>0001692819-26-000019</x:v>
      </x:c>
      <x:c r="I3" s="111" t="str">
        <x:v>us-gaap:PaymentsToAcquirePropertyPlantAndEquipment</x:v>
      </x:c>
      <x:c r="J3" s="111" t="str">
        <x:v>c-1</x:v>
      </x:c>
      <x:c r="K3" s="111" t="str">
        <x:v>[]</x:v>
      </x:c>
      <x:c r="L3" s="111" t="n">
        <x:v>6</x:v>
      </x:c>
      <x:c r="M3" s="111" t="str">
        <x:v>-6</x:v>
      </x:c>
      <x:c r="N3" s="111" t="str">
        <x:v>https://www.sec.gov/Archives/edgar/data/1692819/000169281926000019/vistra-20260630.htm</x:v>
      </x:c>
      <x:c r="O3" s="111" t="str">
        <x:v>10-Q cash flows, pp. 4–5</x:v>
      </x:c>
      <x:c r="P3" s="111"/>
      <x:c r="Q3" s="111"/>
      <x:c r="R3" s="96"/>
    </x:row>
    <x:row r="4" ht="52" customHeight="1">
      <x:c r="A4" s="93" t="str">
        <x:v>acquisition_adjustment</x:v>
      </x:c>
      <x:c r="B4" s="121" t="n">
        <x:v>-6000000</x:v>
      </x:c>
      <x:c r="C4" s="111" t="str">
        <x:v>Lotus purchase-price adjustment</x:v>
      </x:c>
      <x:c r="D4" s="122" t="d">
        <x:v>2026-01-01T00:00:00.000Z</x:v>
      </x:c>
      <x:c r="E4" s="122" t="d">
        <x:v>2026-06-30T00:00:00.000Z</x:v>
      </x:c>
      <x:c r="F4" s="111" t="str">
        <x:v>10-Q</x:v>
      </x:c>
      <x:c r="G4" s="122" t="d">
        <x:v>2026-08-10T00:00:00.000Z</x:v>
      </x:c>
      <x:c r="H4" s="111" t="str">
        <x:v>0001692819-26-000019</x:v>
      </x:c>
      <x:c r="I4" s="111" t="str">
        <x:v>us-gaap:PaymentsToAcquireBusinessesNetOfCashAcquired</x:v>
      </x:c>
      <x:c r="J4" s="111" t="str">
        <x:v>c-1</x:v>
      </x:c>
      <x:c r="K4" s="111" t="str">
        <x:v>[]</x:v>
      </x:c>
      <x:c r="L4" s="111" t="n">
        <x:v>6</x:v>
      </x:c>
      <x:c r="M4" s="111" t="str">
        <x:v>-6</x:v>
      </x:c>
      <x:c r="N4" s="111" t="str">
        <x:v>https://www.sec.gov/Archives/edgar/data/1692819/000169281926000019/vistra-20260630.htm</x:v>
      </x:c>
      <x:c r="O4" s="111" t="str">
        <x:v>10-Q cash flows, pp. 4–5</x:v>
      </x:c>
      <x:c r="P4" s="111"/>
      <x:c r="Q4" s="111"/>
      <x:c r="R4" s="96"/>
    </x:row>
    <x:row r="5" ht="52" customHeight="1">
      <x:c r="A5" s="93" t="str">
        <x:v>trust_sales</x:v>
      </x:c>
      <x:c r="B5" s="121" t="n">
        <x:v>3036000000</x:v>
      </x:c>
      <x:c r="C5" s="111" t="str">
        <x:v>Sales of nuclear decommissioning trust securities</x:v>
      </x:c>
      <x:c r="D5" s="122" t="d">
        <x:v>2026-01-01T00:00:00.000Z</x:v>
      </x:c>
      <x:c r="E5" s="122" t="d">
        <x:v>2026-06-30T00:00:00.000Z</x:v>
      </x:c>
      <x:c r="F5" s="111" t="str">
        <x:v>10-Q</x:v>
      </x:c>
      <x:c r="G5" s="122" t="d">
        <x:v>2026-08-10T00:00:00.000Z</x:v>
      </x:c>
      <x:c r="H5" s="111" t="str">
        <x:v>0001692819-26-000019</x:v>
      </x:c>
      <x:c r="I5" s="111" t="str">
        <x:v>us-gaap:ProceedsFromDecommissioningFund</x:v>
      </x:c>
      <x:c r="J5" s="111" t="str">
        <x:v>c-1</x:v>
      </x:c>
      <x:c r="K5" s="111" t="str">
        <x:v>[]</x:v>
      </x:c>
      <x:c r="L5" s="111" t="n">
        <x:v>6</x:v>
      </x:c>
      <x:c r="M5" s="111" t="str">
        <x:v>-6</x:v>
      </x:c>
      <x:c r="N5" s="111" t="str">
        <x:v>https://www.sec.gov/Archives/edgar/data/1692819/000169281926000019/vistra-20260630.htm</x:v>
      </x:c>
      <x:c r="O5" s="111" t="str">
        <x:v>10-Q cash flows, pp. 4–5</x:v>
      </x:c>
      <x:c r="P5" s="111"/>
      <x:c r="Q5" s="111"/>
      <x:c r="R5" s="96"/>
    </x:row>
    <x:row r="6" ht="52" customHeight="1">
      <x:c r="A6" s="93" t="str">
        <x:v>trust_purchases</x:v>
      </x:c>
      <x:c r="B6" s="121" t="n">
        <x:v>3037000000</x:v>
      </x:c>
      <x:c r="C6" s="111" t="str">
        <x:v>Purchases of nuclear decommissioning trust securities</x:v>
      </x:c>
      <x:c r="D6" s="122" t="d">
        <x:v>2026-01-01T00:00:00.000Z</x:v>
      </x:c>
      <x:c r="E6" s="122" t="d">
        <x:v>2026-06-30T00:00:00.000Z</x:v>
      </x:c>
      <x:c r="F6" s="111" t="str">
        <x:v>10-Q</x:v>
      </x:c>
      <x:c r="G6" s="122" t="d">
        <x:v>2026-08-10T00:00:00.000Z</x:v>
      </x:c>
      <x:c r="H6" s="111" t="str">
        <x:v>0001692819-26-000019</x:v>
      </x:c>
      <x:c r="I6" s="111" t="str">
        <x:v>us-gaap:PaymentsToInvestInDecommissioningFund</x:v>
      </x:c>
      <x:c r="J6" s="111" t="str">
        <x:v>c-1</x:v>
      </x:c>
      <x:c r="K6" s="111" t="str">
        <x:v>[]</x:v>
      </x:c>
      <x:c r="L6" s="111" t="n">
        <x:v>6</x:v>
      </x:c>
      <x:c r="M6" s="111" t="str">
        <x:v>-6</x:v>
      </x:c>
      <x:c r="N6" s="111" t="str">
        <x:v>https://www.sec.gov/Archives/edgar/data/1692819/000169281926000019/vistra-20260630.htm</x:v>
      </x:c>
      <x:c r="O6" s="111" t="str">
        <x:v>10-Q cash flows, pp. 4–5</x:v>
      </x:c>
      <x:c r="P6" s="111"/>
      <x:c r="Q6" s="111"/>
      <x:c r="R6" s="96"/>
    </x:row>
    <x:row r="7" ht="52" customHeight="1">
      <x:c r="A7" s="93" t="str">
        <x:v>allowance_sales</x:v>
      </x:c>
      <x:c r="B7" s="121" t="n">
        <x:v>128000000</x:v>
      </x:c>
      <x:c r="C7" s="111" t="str">
        <x:v>Environmental allowance sales</x:v>
      </x:c>
      <x:c r="D7" s="122" t="d">
        <x:v>2026-01-01T00:00:00.000Z</x:v>
      </x:c>
      <x:c r="E7" s="122" t="d">
        <x:v>2026-06-30T00:00:00.000Z</x:v>
      </x:c>
      <x:c r="F7" s="111" t="str">
        <x:v>10-Q</x:v>
      </x:c>
      <x:c r="G7" s="122" t="d">
        <x:v>2026-08-10T00:00:00.000Z</x:v>
      </x:c>
      <x:c r="H7" s="111" t="str">
        <x:v>0001692819-26-000019</x:v>
      </x:c>
      <x:c r="I7" s="111" t="str">
        <x:v>us-gaap:ProceedsFromSaleOfIntangibleAssets</x:v>
      </x:c>
      <x:c r="J7" s="111" t="str">
        <x:v>c-1</x:v>
      </x:c>
      <x:c r="K7" s="111" t="str">
        <x:v>[]</x:v>
      </x:c>
      <x:c r="L7" s="111" t="n">
        <x:v>6</x:v>
      </x:c>
      <x:c r="M7" s="111" t="str">
        <x:v>-6</x:v>
      </x:c>
      <x:c r="N7" s="111" t="str">
        <x:v>https://www.sec.gov/Archives/edgar/data/1692819/000169281926000019/vistra-20260630.htm</x:v>
      </x:c>
      <x:c r="O7" s="111" t="str">
        <x:v>10-Q cash flows, pp. 4–5</x:v>
      </x:c>
      <x:c r="P7" s="111"/>
      <x:c r="Q7" s="111"/>
      <x:c r="R7" s="96"/>
    </x:row>
    <x:row r="8" ht="52" customHeight="1">
      <x:c r="A8" s="93" t="str">
        <x:v>allowance_purchases</x:v>
      </x:c>
      <x:c r="B8" s="121" t="n">
        <x:v>201000000</x:v>
      </x:c>
      <x:c r="C8" s="111" t="str">
        <x:v>Environmental allowance purchases</x:v>
      </x:c>
      <x:c r="D8" s="122" t="d">
        <x:v>2026-01-01T00:00:00.000Z</x:v>
      </x:c>
      <x:c r="E8" s="122" t="d">
        <x:v>2026-06-30T00:00:00.000Z</x:v>
      </x:c>
      <x:c r="F8" s="111" t="str">
        <x:v>10-Q</x:v>
      </x:c>
      <x:c r="G8" s="122" t="d">
        <x:v>2026-08-10T00:00:00.000Z</x:v>
      </x:c>
      <x:c r="H8" s="111" t="str">
        <x:v>0001692819-26-000019</x:v>
      </x:c>
      <x:c r="I8" s="111" t="str">
        <x:v>us-gaap:PaymentsToAcquireIntangibleAssets</x:v>
      </x:c>
      <x:c r="J8" s="111" t="str">
        <x:v>c-1</x:v>
      </x:c>
      <x:c r="K8" s="111" t="str">
        <x:v>[]</x:v>
      </x:c>
      <x:c r="L8" s="111" t="n">
        <x:v>6</x:v>
      </x:c>
      <x:c r="M8" s="111" t="str">
        <x:v>-6</x:v>
      </x:c>
      <x:c r="N8" s="111" t="str">
        <x:v>https://www.sec.gov/Archives/edgar/data/1692819/000169281926000019/vistra-20260630.htm</x:v>
      </x:c>
      <x:c r="O8" s="111" t="str">
        <x:v>10-Q cash flows, pp. 4–5</x:v>
      </x:c>
      <x:c r="P8" s="111"/>
      <x:c r="Q8" s="111"/>
      <x:c r="R8" s="96"/>
    </x:row>
    <x:row r="9" ht="52" customHeight="1">
      <x:c r="A9" s="93" t="str">
        <x:v>insurance</x:v>
      </x:c>
      <x:c r="B9" s="121" t="n">
        <x:v>234000000</x:v>
      </x:c>
      <x:c r="C9" s="111" t="str">
        <x:v>Insurance recovery of damaged property</x:v>
      </x:c>
      <x:c r="D9" s="122" t="d">
        <x:v>2026-01-01T00:00:00.000Z</x:v>
      </x:c>
      <x:c r="E9" s="122" t="d">
        <x:v>2026-06-30T00:00:00.000Z</x:v>
      </x:c>
      <x:c r="F9" s="111" t="str">
        <x:v>10-Q</x:v>
      </x:c>
      <x:c r="G9" s="122" t="d">
        <x:v>2026-08-10T00:00:00.000Z</x:v>
      </x:c>
      <x:c r="H9" s="111" t="str">
        <x:v>0001692819-26-000019</x:v>
      </x:c>
      <x:c r="I9" s="111" t="str">
        <x:v>us-gaap:ProceedsFromInsuranceSettlementInvestingActivities</x:v>
      </x:c>
      <x:c r="J9" s="111" t="str">
        <x:v>c-1</x:v>
      </x:c>
      <x:c r="K9" s="111" t="str">
        <x:v>[]</x:v>
      </x:c>
      <x:c r="L9" s="111" t="n">
        <x:v>6</x:v>
      </x:c>
      <x:c r="M9" s="111" t="str">
        <x:v>-6</x:v>
      </x:c>
      <x:c r="N9" s="111" t="str">
        <x:v>https://www.sec.gov/Archives/edgar/data/1692819/000169281926000019/vistra-20260630.htm</x:v>
      </x:c>
      <x:c r="O9" s="111" t="str">
        <x:v>10-Q cash flows, pp. 4–5</x:v>
      </x:c>
      <x:c r="P9" s="111"/>
      <x:c r="Q9" s="111"/>
      <x:c r="R9" s="96"/>
    </x:row>
    <x:row r="10" ht="52" customHeight="1">
      <x:c r="A10" s="93" t="str">
        <x:v>asset_sales</x:v>
      </x:c>
      <x:c r="B10" s="121" t="n">
        <x:v>50000000</x:v>
      </x:c>
      <x:c r="C10" s="111" t="str">
        <x:v>Sales of property and nuclear fuel</x:v>
      </x:c>
      <x:c r="D10" s="122" t="d">
        <x:v>2026-01-01T00:00:00.000Z</x:v>
      </x:c>
      <x:c r="E10" s="122" t="d">
        <x:v>2026-06-30T00:00:00.000Z</x:v>
      </x:c>
      <x:c r="F10" s="111" t="str">
        <x:v>10-Q</x:v>
      </x:c>
      <x:c r="G10" s="122" t="d">
        <x:v>2026-08-10T00:00:00.000Z</x:v>
      </x:c>
      <x:c r="H10" s="111" t="str">
        <x:v>0001692819-26-000019</x:v>
      </x:c>
      <x:c r="I10" s="111" t="str">
        <x:v>us-gaap:ProceedsFromSaleOfOtherProductiveAssets</x:v>
      </x:c>
      <x:c r="J10" s="111" t="str">
        <x:v>c-1</x:v>
      </x:c>
      <x:c r="K10" s="111" t="str">
        <x:v>[]</x:v>
      </x:c>
      <x:c r="L10" s="111" t="n">
        <x:v>6</x:v>
      </x:c>
      <x:c r="M10" s="111" t="str">
        <x:v>-6</x:v>
      </x:c>
      <x:c r="N10" s="111" t="str">
        <x:v>https://www.sec.gov/Archives/edgar/data/1692819/000169281926000019/vistra-20260630.htm</x:v>
      </x:c>
      <x:c r="O10" s="111" t="str">
        <x:v>10-Q cash flows, pp. 4–5</x:v>
      </x:c>
      <x:c r="P10" s="111"/>
      <x:c r="Q10" s="111"/>
      <x:c r="R10" s="96"/>
    </x:row>
    <x:row r="11" ht="52" customHeight="1">
      <x:c r="A11" s="93" t="str">
        <x:v>other_investing</x:v>
      </x:c>
      <x:c r="B11" s="121" t="n">
        <x:v>-77000000</x:v>
      </x:c>
      <x:c r="C11" s="111" t="str">
        <x:v>Other investing cash flow</x:v>
      </x:c>
      <x:c r="D11" s="122" t="d">
        <x:v>2026-01-01T00:00:00.000Z</x:v>
      </x:c>
      <x:c r="E11" s="122" t="d">
        <x:v>2026-06-30T00:00:00.000Z</x:v>
      </x:c>
      <x:c r="F11" s="111" t="str">
        <x:v>10-Q</x:v>
      </x:c>
      <x:c r="G11" s="122" t="d">
        <x:v>2026-08-10T00:00:00.000Z</x:v>
      </x:c>
      <x:c r="H11" s="111" t="str">
        <x:v>0001692819-26-000019</x:v>
      </x:c>
      <x:c r="I11" s="111" t="str">
        <x:v>us-gaap:PaymentsForProceedsFromOtherInvestingActivities</x:v>
      </x:c>
      <x:c r="J11" s="111" t="str">
        <x:v>c-1</x:v>
      </x:c>
      <x:c r="K11" s="111" t="str">
        <x:v>[]</x:v>
      </x:c>
      <x:c r="L11" s="111" t="n">
        <x:v>6</x:v>
      </x:c>
      <x:c r="M11" s="111" t="str">
        <x:v>-6</x:v>
      </x:c>
      <x:c r="N11" s="111" t="str">
        <x:v>https://www.sec.gov/Archives/edgar/data/1692819/000169281926000019/vistra-20260630.htm</x:v>
      </x:c>
      <x:c r="O11" s="111" t="str">
        <x:v>10-Q cash flows, pp. 4–5</x:v>
      </x:c>
      <x:c r="P11" s="111"/>
      <x:c r="Q11" s="111"/>
      <x:c r="R11" s="96"/>
    </x:row>
    <x:row r="12" ht="52" customHeight="1">
      <x:c r="A12" s="93" t="str">
        <x:v>investing</x:v>
      </x:c>
      <x:c r="B12" s="121" t="n">
        <x:v>-1279000000</x:v>
      </x:c>
      <x:c r="C12" s="111" t="str">
        <x:v>Reported net investing cash flow</x:v>
      </x:c>
      <x:c r="D12" s="122" t="d">
        <x:v>2026-01-01T00:00:00.000Z</x:v>
      </x:c>
      <x:c r="E12" s="122" t="d">
        <x:v>2026-06-30T00:00:00.000Z</x:v>
      </x:c>
      <x:c r="F12" s="111" t="str">
        <x:v>10-Q</x:v>
      </x:c>
      <x:c r="G12" s="122" t="d">
        <x:v>2026-08-10T00:00:00.000Z</x:v>
      </x:c>
      <x:c r="H12" s="111" t="str">
        <x:v>0001692819-26-000019</x:v>
      </x:c>
      <x:c r="I12" s="111" t="str">
        <x:v>us-gaap:NetCashProvidedByUsedInInvestingActivities</x:v>
      </x:c>
      <x:c r="J12" s="111" t="str">
        <x:v>c-1</x:v>
      </x:c>
      <x:c r="K12" s="111" t="str">
        <x:v>[]</x:v>
      </x:c>
      <x:c r="L12" s="111" t="n">
        <x:v>6</x:v>
      </x:c>
      <x:c r="M12" s="111" t="str">
        <x:v>-6</x:v>
      </x:c>
      <x:c r="N12" s="111" t="str">
        <x:v>https://www.sec.gov/Archives/edgar/data/1692819/000169281926000019/vistra-20260630.htm</x:v>
      </x:c>
      <x:c r="O12" s="111" t="str">
        <x:v>10-Q cash flows, pp. 4–5</x:v>
      </x:c>
      <x:c r="P12" s="111"/>
      <x:c r="Q12" s="111"/>
      <x:c r="R12" s="96"/>
    </x:row>
    <x:row r="13" ht="52" customHeight="1">
      <x:c r="A13" s="93" t="str">
        <x:v>debt_issued</x:v>
      </x:c>
      <x:c r="B13" s="121" t="n">
        <x:v>6422000000</x:v>
      </x:c>
      <x:c r="C13" s="111" t="str">
        <x:v>Debt issuance cash proceeds</x:v>
      </x:c>
      <x:c r="D13" s="122" t="d">
        <x:v>2026-01-01T00:00:00.000Z</x:v>
      </x:c>
      <x:c r="E13" s="122" t="d">
        <x:v>2026-06-30T00:00:00.000Z</x:v>
      </x:c>
      <x:c r="F13" s="111" t="str">
        <x:v>10-Q</x:v>
      </x:c>
      <x:c r="G13" s="122" t="d">
        <x:v>2026-08-10T00:00:00.000Z</x:v>
      </x:c>
      <x:c r="H13" s="111" t="str">
        <x:v>0001692819-26-000019</x:v>
      </x:c>
      <x:c r="I13" s="111" t="str">
        <x:v>us-gaap:ProceedsFromIssuanceOfDebt</x:v>
      </x:c>
      <x:c r="J13" s="111" t="str">
        <x:v>c-1</x:v>
      </x:c>
      <x:c r="K13" s="111" t="str">
        <x:v>[]</x:v>
      </x:c>
      <x:c r="L13" s="111" t="n">
        <x:v>6</x:v>
      </x:c>
      <x:c r="M13" s="111" t="str">
        <x:v>-6</x:v>
      </x:c>
      <x:c r="N13" s="111" t="str">
        <x:v>https://www.sec.gov/Archives/edgar/data/1692819/000169281926000019/vistra-20260630.htm</x:v>
      </x:c>
      <x:c r="O13" s="111" t="str">
        <x:v>10-Q cash flows, pp. 4–5</x:v>
      </x:c>
      <x:c r="P13" s="111"/>
      <x:c r="Q13" s="111"/>
      <x:c r="R13" s="96"/>
    </x:row>
    <x:row r="14" ht="52" customHeight="1">
      <x:c r="A14" s="93" t="str">
        <x:v>debt_repaid</x:v>
      </x:c>
      <x:c r="B14" s="121" t="n">
        <x:v>3859000000</x:v>
      </x:c>
      <x:c r="C14" s="111" t="str">
        <x:v>Debt repayments and repurchases</x:v>
      </x:c>
      <x:c r="D14" s="122" t="d">
        <x:v>2026-01-01T00:00:00.000Z</x:v>
      </x:c>
      <x:c r="E14" s="122" t="d">
        <x:v>2026-06-30T00:00:00.000Z</x:v>
      </x:c>
      <x:c r="F14" s="111" t="str">
        <x:v>10-Q</x:v>
      </x:c>
      <x:c r="G14" s="122" t="d">
        <x:v>2026-08-10T00:00:00.000Z</x:v>
      </x:c>
      <x:c r="H14" s="111" t="str">
        <x:v>0001692819-26-000019</x:v>
      </x:c>
      <x:c r="I14" s="111" t="str">
        <x:v>us-gaap:RepaymentsOfLongTermDebt</x:v>
      </x:c>
      <x:c r="J14" s="111" t="str">
        <x:v>c-1</x:v>
      </x:c>
      <x:c r="K14" s="111" t="str">
        <x:v>[]</x:v>
      </x:c>
      <x:c r="L14" s="111" t="n">
        <x:v>6</x:v>
      </x:c>
      <x:c r="M14" s="111" t="str">
        <x:v>-6</x:v>
      </x:c>
      <x:c r="N14" s="111" t="str">
        <x:v>https://www.sec.gov/Archives/edgar/data/1692819/000169281926000019/vistra-20260630.htm</x:v>
      </x:c>
      <x:c r="O14" s="111" t="str">
        <x:v>10-Q cash flows, pp. 4–5</x:v>
      </x:c>
      <x:c r="P14" s="111"/>
      <x:c r="Q14" s="111"/>
      <x:c r="R14" s="96"/>
    </x:row>
    <x:row r="15" ht="52" customHeight="1">
      <x:c r="A15" s="93" t="str">
        <x:v>receivables_net</x:v>
      </x:c>
      <x:c r="B15" s="121" t="n">
        <x:v>-925000000</x:v>
      </x:c>
      <x:c r="C15" s="111" t="str">
        <x:v>Receivables financing, net repayments</x:v>
      </x:c>
      <x:c r="D15" s="122" t="d">
        <x:v>2026-01-01T00:00:00.000Z</x:v>
      </x:c>
      <x:c r="E15" s="122" t="d">
        <x:v>2026-06-30T00:00:00.000Z</x:v>
      </x:c>
      <x:c r="F15" s="111" t="str">
        <x:v>10-Q</x:v>
      </x:c>
      <x:c r="G15" s="122" t="d">
        <x:v>2026-08-10T00:00:00.000Z</x:v>
      </x:c>
      <x:c r="H15" s="111" t="str">
        <x:v>0001692819-26-000019</x:v>
      </x:c>
      <x:c r="I15" s="111" t="str">
        <x:v>vistra:ProceedsFromRepaymentsOfAccountsReceivableFinancing</x:v>
      </x:c>
      <x:c r="J15" s="111" t="str">
        <x:v>c-1</x:v>
      </x:c>
      <x:c r="K15" s="111" t="str">
        <x:v>[]</x:v>
      </x:c>
      <x:c r="L15" s="111" t="n">
        <x:v>6</x:v>
      </x:c>
      <x:c r="M15" s="111" t="str">
        <x:v>-6</x:v>
      </x:c>
      <x:c r="N15" s="111" t="str">
        <x:v>https://www.sec.gov/Archives/edgar/data/1692819/000169281926000019/vistra-20260630.htm</x:v>
      </x:c>
      <x:c r="O15" s="111" t="str">
        <x:v>10-Q cash flows, pp. 4–5</x:v>
      </x:c>
      <x:c r="P15" s="111"/>
      <x:c r="Q15" s="111"/>
      <x:c r="R15" s="96"/>
    </x:row>
    <x:row r="16" ht="52" customHeight="1">
      <x:c r="A16" s="93" t="str">
        <x:v>revolver_draws</x:v>
      </x:c>
      <x:c r="B16" s="121" t="n">
        <x:v>400000000</x:v>
      </x:c>
      <x:c r="C16" s="111" t="str">
        <x:v>Revolver borrowings</x:v>
      </x:c>
      <x:c r="D16" s="122" t="d">
        <x:v>2026-01-01T00:00:00.000Z</x:v>
      </x:c>
      <x:c r="E16" s="122" t="d">
        <x:v>2026-06-30T00:00:00.000Z</x:v>
      </x:c>
      <x:c r="F16" s="111" t="str">
        <x:v>10-Q</x:v>
      </x:c>
      <x:c r="G16" s="122" t="d">
        <x:v>2026-08-10T00:00:00.000Z</x:v>
      </x:c>
      <x:c r="H16" s="111" t="str">
        <x:v>0001692819-26-000019</x:v>
      </x:c>
      <x:c r="I16" s="111" t="str">
        <x:v>us-gaap:ProceedsFromLinesOfCredit</x:v>
      </x:c>
      <x:c r="J16" s="111" t="str">
        <x:v>c-1</x:v>
      </x:c>
      <x:c r="K16" s="111" t="str">
        <x:v>[]</x:v>
      </x:c>
      <x:c r="L16" s="111" t="n">
        <x:v>6</x:v>
      </x:c>
      <x:c r="M16" s="111" t="str">
        <x:v>-6</x:v>
      </x:c>
      <x:c r="N16" s="111" t="str">
        <x:v>https://www.sec.gov/Archives/edgar/data/1692819/000169281926000019/vistra-20260630.htm</x:v>
      </x:c>
      <x:c r="O16" s="111" t="str">
        <x:v>10-Q cash flows, pp. 4–5</x:v>
      </x:c>
      <x:c r="P16" s="111"/>
      <x:c r="Q16" s="111"/>
      <x:c r="R16" s="96"/>
    </x:row>
    <x:row r="17" ht="52" customHeight="1">
      <x:c r="A17" s="93" t="str">
        <x:v>revolver_repaid</x:v>
      </x:c>
      <x:c r="B17" s="121" t="n">
        <x:v>780000000</x:v>
      </x:c>
      <x:c r="C17" s="111" t="str">
        <x:v>Revolver repayments</x:v>
      </x:c>
      <x:c r="D17" s="122" t="d">
        <x:v>2026-01-01T00:00:00.000Z</x:v>
      </x:c>
      <x:c r="E17" s="122" t="d">
        <x:v>2026-06-30T00:00:00.000Z</x:v>
      </x:c>
      <x:c r="F17" s="111" t="str">
        <x:v>10-Q</x:v>
      </x:c>
      <x:c r="G17" s="122" t="d">
        <x:v>2026-08-10T00:00:00.000Z</x:v>
      </x:c>
      <x:c r="H17" s="111" t="str">
        <x:v>0001692819-26-000019</x:v>
      </x:c>
      <x:c r="I17" s="111" t="str">
        <x:v>us-gaap:RepaymentsOfLinesOfCredit</x:v>
      </x:c>
      <x:c r="J17" s="111" t="str">
        <x:v>c-1</x:v>
      </x:c>
      <x:c r="K17" s="111" t="str">
        <x:v>[]</x:v>
      </x:c>
      <x:c r="L17" s="111" t="n">
        <x:v>6</x:v>
      </x:c>
      <x:c r="M17" s="111" t="str">
        <x:v>-6</x:v>
      </x:c>
      <x:c r="N17" s="111" t="str">
        <x:v>https://www.sec.gov/Archives/edgar/data/1692819/000169281926000019/vistra-20260630.htm</x:v>
      </x:c>
      <x:c r="O17" s="111" t="str">
        <x:v>10-Q cash flows, pp. 4–5</x:v>
      </x:c>
      <x:c r="P17" s="111"/>
      <x:c r="Q17" s="111"/>
      <x:c r="R17" s="96"/>
    </x:row>
    <x:row r="18" ht="52" customHeight="1">
      <x:c r="A18" s="93" t="str">
        <x:v>commodity_draws</x:v>
      </x:c>
      <x:c r="B18" s="121" t="n">
        <x:v>0</x:v>
      </x:c>
      <x:c r="C18" s="111" t="str">
        <x:v>Commodity-linked borrowings</x:v>
      </x:c>
      <x:c r="D18" s="122" t="d">
        <x:v>2026-01-01T00:00:00.000Z</x:v>
      </x:c>
      <x:c r="E18" s="122" t="d">
        <x:v>2026-06-30T00:00:00.000Z</x:v>
      </x:c>
      <x:c r="F18" s="111" t="str">
        <x:v>10-Q</x:v>
      </x:c>
      <x:c r="G18" s="122" t="d">
        <x:v>2026-08-10T00:00:00.000Z</x:v>
      </x:c>
      <x:c r="H18" s="111" t="str">
        <x:v>0001692819-26-000019</x:v>
      </x:c>
      <x:c r="I18" s="111" t="str">
        <x:v>us-gaap:ProceedsFromShortTermDebt</x:v>
      </x:c>
      <x:c r="J18" s="111" t="str">
        <x:v>c-1</x:v>
      </x:c>
      <x:c r="K18" s="111" t="str">
        <x:v>[]</x:v>
      </x:c>
      <x:c r="L18" s="111" t="n">
        <x:v>6</x:v>
      </x:c>
      <x:c r="M18" s="111" t="str">
        <x:v>-6</x:v>
      </x:c>
      <x:c r="N18" s="111" t="str">
        <x:v>https://www.sec.gov/Archives/edgar/data/1692819/000169281926000019/vistra-20260630.htm</x:v>
      </x:c>
      <x:c r="O18" s="111" t="str">
        <x:v>10-Q cash flows, pp. 4–5</x:v>
      </x:c>
      <x:c r="P18" s="111"/>
      <x:c r="Q18" s="111"/>
      <x:c r="R18" s="96"/>
    </x:row>
    <x:row r="19" ht="52" customHeight="1">
      <x:c r="A19" s="93" t="str">
        <x:v>commodity_repaid</x:v>
      </x:c>
      <x:c r="B19" s="121" t="n">
        <x:v>1420000000</x:v>
      </x:c>
      <x:c r="C19" s="111" t="str">
        <x:v>Commodity-linked repayments</x:v>
      </x:c>
      <x:c r="D19" s="122" t="d">
        <x:v>2026-01-01T00:00:00.000Z</x:v>
      </x:c>
      <x:c r="E19" s="122" t="d">
        <x:v>2026-06-30T00:00:00.000Z</x:v>
      </x:c>
      <x:c r="F19" s="111" t="str">
        <x:v>10-Q</x:v>
      </x:c>
      <x:c r="G19" s="122" t="d">
        <x:v>2026-08-10T00:00:00.000Z</x:v>
      </x:c>
      <x:c r="H19" s="111" t="str">
        <x:v>0001692819-26-000019</x:v>
      </x:c>
      <x:c r="I19" s="111" t="str">
        <x:v>us-gaap:RepaymentsOfShortTermDebt</x:v>
      </x:c>
      <x:c r="J19" s="111" t="str">
        <x:v>c-1</x:v>
      </x:c>
      <x:c r="K19" s="111" t="str">
        <x:v>[]</x:v>
      </x:c>
      <x:c r="L19" s="111" t="n">
        <x:v>6</x:v>
      </x:c>
      <x:c r="M19" s="111" t="str">
        <x:v>-6</x:v>
      </x:c>
      <x:c r="N19" s="111" t="str">
        <x:v>https://www.sec.gov/Archives/edgar/data/1692819/000169281926000019/vistra-20260630.htm</x:v>
      </x:c>
      <x:c r="O19" s="111" t="str">
        <x:v>10-Q cash flows, pp. 4–5</x:v>
      </x:c>
      <x:c r="P19" s="111"/>
      <x:c r="Q19" s="111"/>
      <x:c r="R19" s="96"/>
    </x:row>
    <x:row r="20" ht="52" customHeight="1">
      <x:c r="A20" s="93" t="str">
        <x:v>fees</x:v>
      </x:c>
      <x:c r="B20" s="121" t="n">
        <x:v>72000000</x:v>
      </x:c>
      <x:c r="C20" s="111" t="str">
        <x:v>Debt issuance costs paid</x:v>
      </x:c>
      <x:c r="D20" s="122" t="d">
        <x:v>2026-01-01T00:00:00.000Z</x:v>
      </x:c>
      <x:c r="E20" s="122" t="d">
        <x:v>2026-06-30T00:00:00.000Z</x:v>
      </x:c>
      <x:c r="F20" s="111" t="str">
        <x:v>10-Q</x:v>
      </x:c>
      <x:c r="G20" s="122" t="d">
        <x:v>2026-08-10T00:00:00.000Z</x:v>
      </x:c>
      <x:c r="H20" s="111" t="str">
        <x:v>0001692819-26-000019</x:v>
      </x:c>
      <x:c r="I20" s="111" t="str">
        <x:v>us-gaap:PaymentsOfFinancingCosts</x:v>
      </x:c>
      <x:c r="J20" s="111" t="str">
        <x:v>c-1</x:v>
      </x:c>
      <x:c r="K20" s="111" t="str">
        <x:v>[]</x:v>
      </x:c>
      <x:c r="L20" s="111" t="n">
        <x:v>6</x:v>
      </x:c>
      <x:c r="M20" s="111" t="str">
        <x:v>-6</x:v>
      </x:c>
      <x:c r="N20" s="111" t="str">
        <x:v>https://www.sec.gov/Archives/edgar/data/1692819/000169281926000019/vistra-20260630.htm</x:v>
      </x:c>
      <x:c r="O20" s="111" t="str">
        <x:v>10-Q cash flows, pp. 4–5</x:v>
      </x:c>
      <x:c r="P20" s="111"/>
      <x:c r="Q20" s="111"/>
      <x:c r="R20" s="96"/>
    </x:row>
    <x:row r="21" ht="52" customHeight="1">
      <x:c r="A21" s="93" t="str">
        <x:v>buybacks</x:v>
      </x:c>
      <x:c r="B21" s="121" t="n">
        <x:v>709000000</x:v>
      </x:c>
      <x:c r="C21" s="111" t="str">
        <x:v>Stock repurchases</x:v>
      </x:c>
      <x:c r="D21" s="122" t="d">
        <x:v>2026-01-01T00:00:00.000Z</x:v>
      </x:c>
      <x:c r="E21" s="122" t="d">
        <x:v>2026-06-30T00:00:00.000Z</x:v>
      </x:c>
      <x:c r="F21" s="111" t="str">
        <x:v>10-Q</x:v>
      </x:c>
      <x:c r="G21" s="122" t="d">
        <x:v>2026-08-10T00:00:00.000Z</x:v>
      </x:c>
      <x:c r="H21" s="111" t="str">
        <x:v>0001692819-26-000019</x:v>
      </x:c>
      <x:c r="I21" s="111" t="str">
        <x:v>us-gaap:PaymentsForRepurchaseOfCommonStock</x:v>
      </x:c>
      <x:c r="J21" s="111" t="str">
        <x:v>c-1</x:v>
      </x:c>
      <x:c r="K21" s="111" t="str">
        <x:v>[]</x:v>
      </x:c>
      <x:c r="L21" s="111" t="n">
        <x:v>6</x:v>
      </x:c>
      <x:c r="M21" s="111" t="str">
        <x:v>-6</x:v>
      </x:c>
      <x:c r="N21" s="111" t="str">
        <x:v>https://www.sec.gov/Archives/edgar/data/1692819/000169281926000019/vistra-20260630.htm</x:v>
      </x:c>
      <x:c r="O21" s="111" t="str">
        <x:v>10-Q cash flows, pp. 4–5</x:v>
      </x:c>
      <x:c r="P21" s="111"/>
      <x:c r="Q21" s="111"/>
      <x:c r="R21" s="96"/>
    </x:row>
    <x:row r="22" ht="52" customHeight="1">
      <x:c r="A22" s="93" t="str">
        <x:v>common_dividends</x:v>
      </x:c>
      <x:c r="B22" s="121" t="n">
        <x:v>154000000</x:v>
      </x:c>
      <x:c r="C22" s="111" t="str">
        <x:v>Common dividends paid</x:v>
      </x:c>
      <x:c r="D22" s="122" t="d">
        <x:v>2026-01-01T00:00:00.000Z</x:v>
      </x:c>
      <x:c r="E22" s="122" t="d">
        <x:v>2026-06-30T00:00:00.000Z</x:v>
      </x:c>
      <x:c r="F22" s="111" t="str">
        <x:v>10-Q</x:v>
      </x:c>
      <x:c r="G22" s="122" t="d">
        <x:v>2026-08-10T00:00:00.000Z</x:v>
      </x:c>
      <x:c r="H22" s="111" t="str">
        <x:v>0001692819-26-000019</x:v>
      </x:c>
      <x:c r="I22" s="111" t="str">
        <x:v>us-gaap:PaymentsOfDividendsCommonStock</x:v>
      </x:c>
      <x:c r="J22" s="111" t="str">
        <x:v>c-1</x:v>
      </x:c>
      <x:c r="K22" s="111" t="str">
        <x:v>[]</x:v>
      </x:c>
      <x:c r="L22" s="111" t="n">
        <x:v>6</x:v>
      </x:c>
      <x:c r="M22" s="111" t="str">
        <x:v>-6</x:v>
      </x:c>
      <x:c r="N22" s="111" t="str">
        <x:v>https://www.sec.gov/Archives/edgar/data/1692819/000169281926000019/vistra-20260630.htm</x:v>
      </x:c>
      <x:c r="O22" s="111" t="str">
        <x:v>10-Q cash flows, pp. 4–5</x:v>
      </x:c>
      <x:c r="P22" s="111"/>
      <x:c r="Q22" s="111"/>
      <x:c r="R22" s="96"/>
    </x:row>
    <x:row r="23" ht="52" customHeight="1">
      <x:c r="A23" s="93" t="str">
        <x:v>preferred_dividends</x:v>
      </x:c>
      <x:c r="B23" s="121" t="n">
        <x:v>96000000</x:v>
      </x:c>
      <x:c r="C23" s="111" t="str">
        <x:v>Preferred dividends paid</x:v>
      </x:c>
      <x:c r="D23" s="122" t="d">
        <x:v>2026-01-01T00:00:00.000Z</x:v>
      </x:c>
      <x:c r="E23" s="122" t="d">
        <x:v>2026-06-30T00:00:00.000Z</x:v>
      </x:c>
      <x:c r="F23" s="111" t="str">
        <x:v>10-Q</x:v>
      </x:c>
      <x:c r="G23" s="122" t="d">
        <x:v>2026-08-10T00:00:00.000Z</x:v>
      </x:c>
      <x:c r="H23" s="111" t="str">
        <x:v>0001692819-26-000019</x:v>
      </x:c>
      <x:c r="I23" s="111" t="str">
        <x:v>us-gaap:PaymentsOfDividendsPreferredStockAndPreferenceStock</x:v>
      </x:c>
      <x:c r="J23" s="111" t="str">
        <x:v>c-1</x:v>
      </x:c>
      <x:c r="K23" s="111" t="str">
        <x:v>[]</x:v>
      </x:c>
      <x:c r="L23" s="111" t="n">
        <x:v>6</x:v>
      </x:c>
      <x:c r="M23" s="111" t="str">
        <x:v>-6</x:v>
      </x:c>
      <x:c r="N23" s="111" t="str">
        <x:v>https://www.sec.gov/Archives/edgar/data/1692819/000169281926000019/vistra-20260630.htm</x:v>
      </x:c>
      <x:c r="O23" s="111" t="str">
        <x:v>10-Q cash flows, pp. 4–5</x:v>
      </x:c>
      <x:c r="P23" s="111"/>
      <x:c r="Q23" s="111"/>
      <x:c r="R23" s="96"/>
    </x:row>
    <x:row r="24" ht="52" customHeight="1">
      <x:c r="A24" s="93" t="str">
        <x:v>withholding</x:v>
      </x:c>
      <x:c r="B24" s="121" t="n">
        <x:v>69000000</x:v>
      </x:c>
      <x:c r="C24" s="111" t="str">
        <x:v>Share compensation tax withholding</x:v>
      </x:c>
      <x:c r="D24" s="122" t="d">
        <x:v>2026-01-01T00:00:00.000Z</x:v>
      </x:c>
      <x:c r="E24" s="122" t="d">
        <x:v>2026-06-30T00:00:00.000Z</x:v>
      </x:c>
      <x:c r="F24" s="111" t="str">
        <x:v>10-Q</x:v>
      </x:c>
      <x:c r="G24" s="122" t="d">
        <x:v>2026-08-10T00:00:00.000Z</x:v>
      </x:c>
      <x:c r="H24" s="111" t="str">
        <x:v>0001692819-26-000019</x:v>
      </x:c>
      <x:c r="I24" s="111" t="str">
        <x:v>us-gaap:PaymentsRelatedToTaxWithholdingForShareBasedCompensation</x:v>
      </x:c>
      <x:c r="J24" s="111" t="str">
        <x:v>c-1</x:v>
      </x:c>
      <x:c r="K24" s="111" t="str">
        <x:v>[]</x:v>
      </x:c>
      <x:c r="L24" s="111" t="n">
        <x:v>6</x:v>
      </x:c>
      <x:c r="M24" s="111" t="str">
        <x:v>-6</x:v>
      </x:c>
      <x:c r="N24" s="111" t="str">
        <x:v>https://www.sec.gov/Archives/edgar/data/1692819/000169281926000019/vistra-20260630.htm</x:v>
      </x:c>
      <x:c r="O24" s="111" t="str">
        <x:v>10-Q cash flows, pp. 4–5</x:v>
      </x:c>
      <x:c r="P24" s="111"/>
      <x:c r="Q24" s="111"/>
      <x:c r="R24" s="96"/>
    </x:row>
    <x:row r="25" ht="52" customHeight="1">
      <x:c r="A25" s="93" t="str">
        <x:v>nuveen_principal_paid</x:v>
      </x:c>
      <x:c r="B25" s="121" t="n">
        <x:v>19000000</x:v>
      </x:c>
      <x:c r="C25" s="111" t="str">
        <x:v>Nuveen principal paid</x:v>
      </x:c>
      <x:c r="D25" s="122" t="d">
        <x:v>2026-01-01T00:00:00.000Z</x:v>
      </x:c>
      <x:c r="E25" s="122" t="d">
        <x:v>2026-06-30T00:00:00.000Z</x:v>
      </x:c>
      <x:c r="F25" s="111" t="str">
        <x:v>10-Q</x:v>
      </x:c>
      <x:c r="G25" s="122" t="d">
        <x:v>2026-08-10T00:00:00.000Z</x:v>
      </x:c>
      <x:c r="H25" s="111" t="str">
        <x:v>0001692819-26-000019</x:v>
      </x:c>
      <x:c r="I25" s="111" t="str">
        <x:v>vistra:RedeemableNoncontrollingInterestPrincipalPayment</x:v>
      </x:c>
      <x:c r="J25" s="111" t="str">
        <x:v>c-1</x:v>
      </x:c>
      <x:c r="K25" s="111" t="str">
        <x:v>[]</x:v>
      </x:c>
      <x:c r="L25" s="111" t="n">
        <x:v>6</x:v>
      </x:c>
      <x:c r="M25" s="111" t="str">
        <x:v>-6</x:v>
      </x:c>
      <x:c r="N25" s="111" t="str">
        <x:v>https://www.sec.gov/Archives/edgar/data/1692819/000169281926000019/vistra-20260630.htm</x:v>
      </x:c>
      <x:c r="O25" s="111" t="str">
        <x:v>10-Q cash flows, pp. 4–5</x:v>
      </x:c>
      <x:c r="P25" s="111"/>
      <x:c r="Q25" s="111"/>
      <x:c r="R25" s="96"/>
    </x:row>
    <x:row r="26" ht="52" customHeight="1">
      <x:c r="A26" s="93" t="str">
        <x:v>other_financing</x:v>
      </x:c>
      <x:c r="B26" s="121" t="n">
        <x:v>-3000000</x:v>
      </x:c>
      <x:c r="C26" s="111" t="str">
        <x:v>Other financing cash flow</x:v>
      </x:c>
      <x:c r="D26" s="122" t="d">
        <x:v>2026-01-01T00:00:00.000Z</x:v>
      </x:c>
      <x:c r="E26" s="122" t="d">
        <x:v>2026-06-30T00:00:00.000Z</x:v>
      </x:c>
      <x:c r="F26" s="111" t="str">
        <x:v>10-Q</x:v>
      </x:c>
      <x:c r="G26" s="122" t="d">
        <x:v>2026-08-10T00:00:00.000Z</x:v>
      </x:c>
      <x:c r="H26" s="111" t="str">
        <x:v>0001692819-26-000019</x:v>
      </x:c>
      <x:c r="I26" s="111" t="str">
        <x:v>us-gaap:ProceedsFromPaymentsForOtherFinancingActivities</x:v>
      </x:c>
      <x:c r="J26" s="111" t="str">
        <x:v>c-1</x:v>
      </x:c>
      <x:c r="K26" s="111" t="str">
        <x:v>[]</x:v>
      </x:c>
      <x:c r="L26" s="111" t="n">
        <x:v>6</x:v>
      </x:c>
      <x:c r="M26" s="111" t="str">
        <x:v>-6</x:v>
      </x:c>
      <x:c r="N26" s="111" t="str">
        <x:v>https://www.sec.gov/Archives/edgar/data/1692819/000169281926000019/vistra-20260630.htm</x:v>
      </x:c>
      <x:c r="O26" s="111" t="str">
        <x:v>10-Q cash flows, pp. 4–5</x:v>
      </x:c>
      <x:c r="P26" s="111"/>
      <x:c r="Q26" s="111"/>
      <x:c r="R26" s="96"/>
    </x:row>
    <x:row r="27" ht="52" customHeight="1">
      <x:c r="A27" s="93" t="str">
        <x:v>financing</x:v>
      </x:c>
      <x:c r="B27" s="121" t="n">
        <x:v>-1284000000</x:v>
      </x:c>
      <x:c r="C27" s="111" t="str">
        <x:v>Reported net financing cash flow</x:v>
      </x:c>
      <x:c r="D27" s="122" t="d">
        <x:v>2026-01-01T00:00:00.000Z</x:v>
      </x:c>
      <x:c r="E27" s="122" t="d">
        <x:v>2026-06-30T00:00:00.000Z</x:v>
      </x:c>
      <x:c r="F27" s="111" t="str">
        <x:v>10-Q</x:v>
      </x:c>
      <x:c r="G27" s="122" t="d">
        <x:v>2026-08-10T00:00:00.000Z</x:v>
      </x:c>
      <x:c r="H27" s="111" t="str">
        <x:v>0001692819-26-000019</x:v>
      </x:c>
      <x:c r="I27" s="111" t="str">
        <x:v>us-gaap:NetCashProvidedByUsedInFinancingActivities</x:v>
      </x:c>
      <x:c r="J27" s="111" t="str">
        <x:v>c-1</x:v>
      </x:c>
      <x:c r="K27" s="111" t="str">
        <x:v>[]</x:v>
      </x:c>
      <x:c r="L27" s="111" t="n">
        <x:v>6</x:v>
      </x:c>
      <x:c r="M27" s="111" t="str">
        <x:v>-6</x:v>
      </x:c>
      <x:c r="N27" s="111" t="str">
        <x:v>https://www.sec.gov/Archives/edgar/data/1692819/000169281926000019/vistra-20260630.htm</x:v>
      </x:c>
      <x:c r="O27" s="111" t="str">
        <x:v>10-Q cash flows, pp. 4–5</x:v>
      </x:c>
      <x:c r="P27" s="111"/>
      <x:c r="Q27" s="111"/>
      <x:c r="R27" s="96"/>
    </x:row>
    <x:row r="28" ht="52" customHeight="1">
      <x:c r="A28" s="93" t="str">
        <x:v>change</x:v>
      </x:c>
      <x:c r="B28" s="121" t="n">
        <x:v>-341000000</x:v>
      </x:c>
      <x:c r="C28" s="111" t="str">
        <x:v>Reported cash change including restricted cash</x:v>
      </x:c>
      <x:c r="D28" s="122" t="d">
        <x:v>2026-01-01T00:00:00.000Z</x:v>
      </x:c>
      <x:c r="E28" s="122" t="d">
        <x:v>2026-06-30T00:00:00.000Z</x:v>
      </x:c>
      <x:c r="F28" s="111" t="str">
        <x:v>10-Q</x:v>
      </x:c>
      <x:c r="G28" s="122" t="d">
        <x:v>2026-08-10T00:00:00.000Z</x:v>
      </x:c>
      <x:c r="H28" s="111" t="str">
        <x:v>0001692819-26-000019</x:v>
      </x:c>
      <x:c r="I28" s="111" t="str">
        <x:v>us-gaap:CashCashEquivalentsRestrictedCashAndRestrictedCashEquivalentsPeriodIncreaseDecreaseIncludingExchangeRateEffect</x:v>
      </x:c>
      <x:c r="J28" s="111" t="str">
        <x:v>c-1</x:v>
      </x:c>
      <x:c r="K28" s="111" t="str">
        <x:v>[]</x:v>
      </x:c>
      <x:c r="L28" s="111" t="n">
        <x:v>6</x:v>
      </x:c>
      <x:c r="M28" s="111" t="str">
        <x:v>-6</x:v>
      </x:c>
      <x:c r="N28" s="111" t="str">
        <x:v>https://www.sec.gov/Archives/edgar/data/1692819/000169281926000019/vistra-20260630.htm</x:v>
      </x:c>
      <x:c r="O28" s="111" t="str">
        <x:v>10-Q cash flows, pp. 4–5</x:v>
      </x:c>
      <x:c r="P28" s="111"/>
      <x:c r="Q28" s="111"/>
      <x:c r="R28" s="96"/>
    </x:row>
    <x:row r="29" ht="52" customHeight="1">
      <x:c r="A29" s="93" t="str">
        <x:v>opening_total</x:v>
      </x:c>
      <x:c r="B29" s="121" t="n">
        <x:v>822000000</x:v>
      </x:c>
      <x:c r="C29" s="111" t="str">
        <x:v>Opening cash including restricted cash</x:v>
      </x:c>
      <x:c r="D29" s="122"/>
      <x:c r="E29" s="122" t="d">
        <x:v>2025-12-31T00:00:00.000Z</x:v>
      </x:c>
      <x:c r="F29" s="111" t="str">
        <x:v>10-Q</x:v>
      </x:c>
      <x:c r="G29" s="122" t="d">
        <x:v>2026-08-10T00:00:00.000Z</x:v>
      </x:c>
      <x:c r="H29" s="111" t="str">
        <x:v>0001692819-26-000019</x:v>
      </x:c>
      <x:c r="I29" s="111" t="str">
        <x:v>us-gaap:CashCashEquivalentsRestrictedCashAndRestrictedCashEquivalents</x:v>
      </x:c>
      <x:c r="J29" s="111" t="str">
        <x:v>c-9</x:v>
      </x:c>
      <x:c r="K29" s="111" t="str">
        <x:v>[]</x:v>
      </x:c>
      <x:c r="L29" s="111" t="n">
        <x:v>6</x:v>
      </x:c>
      <x:c r="M29" s="111" t="str">
        <x:v>-6</x:v>
      </x:c>
      <x:c r="N29" s="111" t="str">
        <x:v>https://www.sec.gov/Archives/edgar/data/1692819/000169281926000019/vistra-20260630.htm</x:v>
      </x:c>
      <x:c r="O29" s="111" t="str">
        <x:v>10-Q balance sheet p. 2; cash flows p. 5; Note 12</x:v>
      </x:c>
      <x:c r="P29" s="111"/>
      <x:c r="Q29" s="111"/>
      <x:c r="R29" s="96"/>
    </x:row>
    <x:row r="30" ht="52" customHeight="1">
      <x:c r="A30" s="93" t="str">
        <x:v>closing_total</x:v>
      </x:c>
      <x:c r="B30" s="121" t="n">
        <x:v>481000000</x:v>
      </x:c>
      <x:c r="C30" s="111" t="str">
        <x:v>Ending cash including restricted cash</x:v>
      </x:c>
      <x:c r="D30" s="122"/>
      <x:c r="E30" s="122" t="d">
        <x:v>2026-06-30T00:00:00.000Z</x:v>
      </x:c>
      <x:c r="F30" s="111" t="str">
        <x:v>10-Q</x:v>
      </x:c>
      <x:c r="G30" s="122" t="d">
        <x:v>2026-08-10T00:00:00.000Z</x:v>
      </x:c>
      <x:c r="H30" s="111" t="str">
        <x:v>0001692819-26-000019</x:v>
      </x:c>
      <x:c r="I30" s="111" t="str">
        <x:v>us-gaap:CashCashEquivalentsRestrictedCashAndRestrictedCashEquivalents</x:v>
      </x:c>
      <x:c r="J30" s="111" t="str">
        <x:v>c-8</x:v>
      </x:c>
      <x:c r="K30" s="111" t="str">
        <x:v>[]</x:v>
      </x:c>
      <x:c r="L30" s="111" t="n">
        <x:v>6</x:v>
      </x:c>
      <x:c r="M30" s="111" t="str">
        <x:v>-6</x:v>
      </x:c>
      <x:c r="N30" s="111" t="str">
        <x:v>https://www.sec.gov/Archives/edgar/data/1692819/000169281926000019/vistra-20260630.htm</x:v>
      </x:c>
      <x:c r="O30" s="111" t="str">
        <x:v>10-Q balance sheet p. 2; cash flows p. 5; Note 12</x:v>
      </x:c>
      <x:c r="P30" s="111"/>
      <x:c r="Q30" s="111"/>
      <x:c r="R30" s="96"/>
    </x:row>
    <x:row r="31" ht="52" customHeight="1">
      <x:c r="A31" s="93" t="str">
        <x:v>cash</x:v>
      </x:c>
      <x:c r="B31" s="121" t="n">
        <x:v>435000000</x:v>
      </x:c>
      <x:c r="C31" s="111" t="str">
        <x:v>Cash and equivalents excluding restricted cash</x:v>
      </x:c>
      <x:c r="D31" s="122"/>
      <x:c r="E31" s="122" t="d">
        <x:v>2026-06-30T00:00:00.000Z</x:v>
      </x:c>
      <x:c r="F31" s="111" t="str">
        <x:v>10-Q</x:v>
      </x:c>
      <x:c r="G31" s="122" t="d">
        <x:v>2026-08-10T00:00:00.000Z</x:v>
      </x:c>
      <x:c r="H31" s="111" t="str">
        <x:v>0001692819-26-000019</x:v>
      </x:c>
      <x:c r="I31" s="111" t="str">
        <x:v>us-gaap:CashAndCashEquivalentsAtCarryingValue</x:v>
      </x:c>
      <x:c r="J31" s="111" t="str">
        <x:v>c-8</x:v>
      </x:c>
      <x:c r="K31" s="111" t="str">
        <x:v>[]</x:v>
      </x:c>
      <x:c r="L31" s="111" t="n">
        <x:v>6</x:v>
      </x:c>
      <x:c r="M31" s="111" t="str">
        <x:v>-6</x:v>
      </x:c>
      <x:c r="N31" s="111" t="str">
        <x:v>https://www.sec.gov/Archives/edgar/data/1692819/000169281926000019/vistra-20260630.htm</x:v>
      </x:c>
      <x:c r="O31" s="111" t="str">
        <x:v>10-Q balance sheet p. 2; cash flows p. 5; Note 12</x:v>
      </x:c>
      <x:c r="P31" s="111"/>
      <x:c r="Q31" s="111"/>
      <x:c r="R31" s="96"/>
    </x:row>
    <x:row r="32" ht="52" customHeight="1">
      <x:c r="A32" s="93" t="str">
        <x:v>restricted_current</x:v>
      </x:c>
      <x:c r="B32" s="121" t="n">
        <x:v>41000000</x:v>
      </x:c>
      <x:c r="C32" s="111" t="str">
        <x:v>Current restricted cash</x:v>
      </x:c>
      <x:c r="D32" s="122"/>
      <x:c r="E32" s="122" t="d">
        <x:v>2026-06-30T00:00:00.000Z</x:v>
      </x:c>
      <x:c r="F32" s="111" t="str">
        <x:v>10-Q</x:v>
      </x:c>
      <x:c r="G32" s="122" t="d">
        <x:v>2026-08-10T00:00:00.000Z</x:v>
      </x:c>
      <x:c r="H32" s="111" t="str">
        <x:v>0001692819-26-000019</x:v>
      </x:c>
      <x:c r="I32" s="111" t="str">
        <x:v>us-gaap:RestrictedCashCurrent</x:v>
      </x:c>
      <x:c r="J32" s="111" t="str">
        <x:v>c-8</x:v>
      </x:c>
      <x:c r="K32" s="111" t="str">
        <x:v>[]</x:v>
      </x:c>
      <x:c r="L32" s="111" t="n">
        <x:v>6</x:v>
      </x:c>
      <x:c r="M32" s="111" t="str">
        <x:v>-6</x:v>
      </x:c>
      <x:c r="N32" s="111" t="str">
        <x:v>https://www.sec.gov/Archives/edgar/data/1692819/000169281926000019/vistra-20260630.htm</x:v>
      </x:c>
      <x:c r="O32" s="111" t="str">
        <x:v>10-Q balance sheet p. 2; cash flows p. 5; Note 12</x:v>
      </x:c>
      <x:c r="P32" s="111"/>
      <x:c r="Q32" s="111"/>
      <x:c r="R32" s="96"/>
    </x:row>
    <x:row r="33" ht="52" customHeight="1">
      <x:c r="A33" s="93" t="str">
        <x:v>restricted_noncurrent</x:v>
      </x:c>
      <x:c r="B33" s="121" t="n">
        <x:v>5000000</x:v>
      </x:c>
      <x:c r="C33" s="111" t="str">
        <x:v>Noncurrent restricted cash</x:v>
      </x:c>
      <x:c r="D33" s="122"/>
      <x:c r="E33" s="122" t="d">
        <x:v>2026-06-30T00:00:00.000Z</x:v>
      </x:c>
      <x:c r="F33" s="111" t="str">
        <x:v>10-Q</x:v>
      </x:c>
      <x:c r="G33" s="122" t="d">
        <x:v>2026-08-10T00:00:00.000Z</x:v>
      </x:c>
      <x:c r="H33" s="111" t="str">
        <x:v>0001692819-26-000019</x:v>
      </x:c>
      <x:c r="I33" s="111" t="str">
        <x:v>us-gaap:RestrictedCashNoncurrent</x:v>
      </x:c>
      <x:c r="J33" s="111" t="str">
        <x:v>c-8</x:v>
      </x:c>
      <x:c r="K33" s="111" t="str">
        <x:v>[]</x:v>
      </x:c>
      <x:c r="L33" s="111" t="n">
        <x:v>6</x:v>
      </x:c>
      <x:c r="M33" s="111" t="str">
        <x:v>-6</x:v>
      </x:c>
      <x:c r="N33" s="111" t="str">
        <x:v>https://www.sec.gov/Archives/edgar/data/1692819/000169281926000019/vistra-20260630.htm</x:v>
      </x:c>
      <x:c r="O33" s="111" t="str">
        <x:v>10-Q balance sheet p. 2; cash flows p. 5; Note 12</x:v>
      </x:c>
      <x:c r="P33" s="111"/>
      <x:c r="Q33" s="111"/>
      <x:c r="R33" s="96"/>
    </x:row>
    <x:row r="34" ht="52" customHeight="1">
      <x:c r="A34" s="93" t="str">
        <x:v>nuveen_carrying</x:v>
      </x:c>
      <x:c r="B34" s="121" t="n">
        <x:v>613000000</x:v>
      </x:c>
      <x:c r="C34" s="111" t="str">
        <x:v>Nuveen obligation carrying amount</x:v>
      </x:c>
      <x:c r="D34" s="122"/>
      <x:c r="E34" s="122" t="d">
        <x:v>2026-06-30T00:00:00.000Z</x:v>
      </x:c>
      <x:c r="F34" s="111" t="str">
        <x:v>10-Q</x:v>
      </x:c>
      <x:c r="G34" s="122" t="d">
        <x:v>2026-08-10T00:00:00.000Z</x:v>
      </x:c>
      <x:c r="H34" s="111" t="str">
        <x:v>0001692819-26-000019</x:v>
      </x:c>
      <x:c r="I34" s="111" t="str">
        <x:v>vistra:ForwardRepurchaseObligationToBePaidCurrent</x:v>
      </x:c>
      <x:c r="J34" s="111" t="str">
        <x:v>c-8</x:v>
      </x:c>
      <x:c r="K34" s="111" t="str">
        <x:v>[]</x:v>
      </x:c>
      <x:c r="L34" s="111" t="n">
        <x:v>6</x:v>
      </x:c>
      <x:c r="M34" s="111" t="str">
        <x:v>-6</x:v>
      </x:c>
      <x:c r="N34" s="111" t="str">
        <x:v>https://www.sec.gov/Archives/edgar/data/1692819/000169281926000019/vistra-20260630.htm</x:v>
      </x:c>
      <x:c r="O34" s="111" t="str">
        <x:v>10-Q balance sheet p. 2; cash flows p. 5; Note 12</x:v>
      </x:c>
      <x:c r="P34" s="111"/>
      <x:c r="Q34" s="111"/>
      <x:c r="R34" s="96"/>
    </x:row>
    <x:row r="35" ht="52" customHeight="1">
      <x:c r="A35" s="93" t="str">
        <x:v>lt_carrying</x:v>
      </x:c>
      <x:c r="B35" s="121" t="n">
        <x:v>19595000000</x:v>
      </x:c>
      <x:c r="C35" s="111" t="str">
        <x:v>Long-term debt including current portion</x:v>
      </x:c>
      <x:c r="D35" s="122"/>
      <x:c r="E35" s="122" t="d">
        <x:v>2026-06-30T00:00:00.000Z</x:v>
      </x:c>
      <x:c r="F35" s="111" t="str">
        <x:v>10-Q</x:v>
      </x:c>
      <x:c r="G35" s="122" t="d">
        <x:v>2026-08-10T00:00:00.000Z</x:v>
      </x:c>
      <x:c r="H35" s="111" t="str">
        <x:v>0001692819-26-000019</x:v>
      </x:c>
      <x:c r="I35" s="111" t="str">
        <x:v>us-gaap:LongTermDebtAndCapitalLeaseObligationsIncludingCurrentMaturities</x:v>
      </x:c>
      <x:c r="J35" s="111" t="str">
        <x:v>c-8</x:v>
      </x:c>
      <x:c r="K35" s="111" t="str">
        <x:v>[]</x:v>
      </x:c>
      <x:c r="L35" s="111" t="n">
        <x:v>6</x:v>
      </x:c>
      <x:c r="M35" s="111" t="str">
        <x:v>-6</x:v>
      </x:c>
      <x:c r="N35" s="111" t="str">
        <x:v>https://www.sec.gov/Archives/edgar/data/1692819/000169281926000019/vistra-20260630.htm</x:v>
      </x:c>
      <x:c r="O35" s="111" t="str">
        <x:v>10-Q balance sheet p. 2; cash flows p. 5; Note 12</x:v>
      </x:c>
      <x:c r="P35" s="111"/>
      <x:c r="Q35" s="111"/>
      <x:c r="R35" s="96"/>
    </x:row>
    <x:row r="36" ht="52" customHeight="1">
      <x:c r="A36" s="93" t="str">
        <x:v>debt_costs</x:v>
      </x:c>
      <x:c r="B36" s="121" t="n">
        <x:v>169000000</x:v>
      </x:c>
      <x:c r="C36" s="111" t="str">
        <x:v>Unamortized debt premiums, discounts and costs</x:v>
      </x:c>
      <x:c r="D36" s="122"/>
      <x:c r="E36" s="122" t="d">
        <x:v>2026-06-30T00:00:00.000Z</x:v>
      </x:c>
      <x:c r="F36" s="111" t="str">
        <x:v>10-Q</x:v>
      </x:c>
      <x:c r="G36" s="122" t="d">
        <x:v>2026-08-10T00:00:00.000Z</x:v>
      </x:c>
      <x:c r="H36" s="111" t="str">
        <x:v>0001692819-26-000019</x:v>
      </x:c>
      <x:c r="I36" s="111" t="str">
        <x:v>us-gaap:DebtInstrumentUnamortizedDiscountPremiumAndDebtIssuanceCostsNet</x:v>
      </x:c>
      <x:c r="J36" s="111" t="str">
        <x:v>c-8</x:v>
      </x:c>
      <x:c r="K36" s="111" t="str">
        <x:v>[]</x:v>
      </x:c>
      <x:c r="L36" s="111" t="n">
        <x:v>6</x:v>
      </x:c>
      <x:c r="M36" s="111" t="str">
        <x:v>-6</x:v>
      </x:c>
      <x:c r="N36" s="111" t="str">
        <x:v>https://www.sec.gov/Archives/edgar/data/1692819/000169281926000019/vistra-20260630.htm</x:v>
      </x:c>
      <x:c r="O36" s="111" t="str">
        <x:v>10-Q balance sheet p. 2; cash flows p. 5; Note 12</x:v>
      </x:c>
      <x:c r="P36" s="111"/>
      <x:c r="Q36" s="111"/>
      <x:c r="R36" s="96"/>
    </x:row>
    <x:row r="37" ht="52" customHeight="1">
      <x:c r="A37" s="93" t="str">
        <x:v>receivables</x:v>
      </x:c>
      <x:c r="B37" s="121" t="n">
        <x:v>300000000</x:v>
      </x:c>
      <x:c r="C37" s="111" t="str">
        <x:v>Receivables financing outstanding</x:v>
      </x:c>
      <x:c r="D37" s="122"/>
      <x:c r="E37" s="122" t="d">
        <x:v>2026-06-30T00:00:00.000Z</x:v>
      </x:c>
      <x:c r="F37" s="111" t="str">
        <x:v>10-Q</x:v>
      </x:c>
      <x:c r="G37" s="122" t="d">
        <x:v>2026-08-10T00:00:00.000Z</x:v>
      </x:c>
      <x:c r="H37" s="111" t="str">
        <x:v>0001692819-26-000019</x:v>
      </x:c>
      <x:c r="I37" s="111" t="str">
        <x:v>vistra:AccountsReceivableSecuritizationProgramAmountsBorrowed</x:v>
      </x:c>
      <x:c r="J37" s="111" t="str">
        <x:v>c-8</x:v>
      </x:c>
      <x:c r="K37" s="111" t="str">
        <x:v>[]</x:v>
      </x:c>
      <x:c r="L37" s="111" t="n">
        <x:v>6</x:v>
      </x:c>
      <x:c r="M37" s="111" t="str">
        <x:v>-6</x:v>
      </x:c>
      <x:c r="N37" s="111" t="str">
        <x:v>https://www.sec.gov/Archives/edgar/data/1692819/000169281926000019/vistra-20260630.htm</x:v>
      </x:c>
      <x:c r="O37" s="111" t="str">
        <x:v>10-Q balance sheet p. 2; cash flows p. 5; Note 12</x:v>
      </x:c>
      <x:c r="P37" s="111"/>
      <x:c r="Q37" s="111"/>
      <x:c r="R37" s="96"/>
    </x:row>
    <x:row r="38" ht="52" customHeight="1">
      <x:c r="A38" s="93" t="str">
        <x:v>shortterm</x:v>
      </x:c>
      <x:c r="B38" s="121" t="n">
        <x:v>0</x:v>
      </x:c>
      <x:c r="C38" s="111" t="str">
        <x:v>Short-term borrowings, reported zero</x:v>
      </x:c>
      <x:c r="D38" s="122"/>
      <x:c r="E38" s="122" t="d">
        <x:v>2026-06-30T00:00:00.000Z</x:v>
      </x:c>
      <x:c r="F38" s="111" t="str">
        <x:v>10-Q</x:v>
      </x:c>
      <x:c r="G38" s="122" t="d">
        <x:v>2026-08-10T00:00:00.000Z</x:v>
      </x:c>
      <x:c r="H38" s="111" t="str">
        <x:v>0001692819-26-000019</x:v>
      </x:c>
      <x:c r="I38" s="111" t="str">
        <x:v>us-gaap:ShortTermBorrowings</x:v>
      </x:c>
      <x:c r="J38" s="111" t="str">
        <x:v>c-8</x:v>
      </x:c>
      <x:c r="K38" s="111" t="str">
        <x:v>[]</x:v>
      </x:c>
      <x:c r="L38" s="111" t="n">
        <x:v>6</x:v>
      </x:c>
      <x:c r="M38" s="111" t="str">
        <x:v>-6</x:v>
      </x:c>
      <x:c r="N38" s="111" t="str">
        <x:v>https://www.sec.gov/Archives/edgar/data/1692819/000169281926000019/vistra-20260630.htm</x:v>
      </x:c>
      <x:c r="O38" s="111" t="str">
        <x:v>10-Q balance sheet p. 2; cash flows p. 5; Note 12</x:v>
      </x:c>
      <x:c r="P38" s="111"/>
      <x:c r="Q38" s="111"/>
      <x:c r="R38" s="96"/>
    </x:row>
    <x:row r="39" ht="52" customHeight="1">
      <x:c r="A39" s="93" t="str">
        <x:v>margin_cash</x:v>
      </x:c>
      <x:c r="B39" s="121" t="n">
        <x:v>1436000000</x:v>
      </x:c>
      <x:c r="C39" s="111" t="str">
        <x:v>Posted margin deposits</x:v>
      </x:c>
      <x:c r="D39" s="122"/>
      <x:c r="E39" s="122" t="d">
        <x:v>2026-06-30T00:00:00.000Z</x:v>
      </x:c>
      <x:c r="F39" s="111" t="str">
        <x:v>10-Q</x:v>
      </x:c>
      <x:c r="G39" s="122" t="d">
        <x:v>2026-08-10T00:00:00.000Z</x:v>
      </x:c>
      <x:c r="H39" s="111" t="str">
        <x:v>0001692819-26-000019</x:v>
      </x:c>
      <x:c r="I39" s="111" t="str">
        <x:v>us-gaap:MarginDepositAssets</x:v>
      </x:c>
      <x:c r="J39" s="111" t="str">
        <x:v>c-8</x:v>
      </x:c>
      <x:c r="K39" s="111" t="str">
        <x:v>[]</x:v>
      </x:c>
      <x:c r="L39" s="111" t="n">
        <x:v>6</x:v>
      </x:c>
      <x:c r="M39" s="111" t="str">
        <x:v>-6</x:v>
      </x:c>
      <x:c r="N39" s="111" t="str">
        <x:v>https://www.sec.gov/Archives/edgar/data/1692819/000169281926000019/vistra-20260630.htm</x:v>
      </x:c>
      <x:c r="O39" s="111" t="str">
        <x:v>10-Q balance sheet p. 2; cash flows p. 5; Note 12</x:v>
      </x:c>
      <x:c r="P39" s="111"/>
      <x:c r="Q39" s="111"/>
      <x:c r="R39" s="96"/>
    </x:row>
    <x:row r="40" ht="52" customHeight="1">
      <x:c r="A40" s="93" t="str">
        <x:v>affiliate_margin</x:v>
      </x:c>
      <x:c r="B40" s="121" t="n">
        <x:v>438000000</x:v>
      </x:c>
      <x:c r="C40" s="111" t="str">
        <x:v>Affiliate-financed eligible assets posted</x:v>
      </x:c>
      <x:c r="D40" s="122"/>
      <x:c r="E40" s="122" t="d">
        <x:v>2026-06-30T00:00:00.000Z</x:v>
      </x:c>
      <x:c r="F40" s="111" t="str">
        <x:v>10-Q</x:v>
      </x:c>
      <x:c r="G40" s="122" t="d">
        <x:v>2026-08-10T00:00:00.000Z</x:v>
      </x:c>
      <x:c r="H40" s="111" t="str">
        <x:v>0001692819-26-000019</x:v>
      </x:c>
      <x:c r="I40" s="111" t="str">
        <x:v>vistra:MarginDepositsPostedUnderAffiliateFinancingAgreementAsset</x:v>
      </x:c>
      <x:c r="J40" s="111" t="str">
        <x:v>c-8</x:v>
      </x:c>
      <x:c r="K40" s="111" t="str">
        <x:v>[]</x:v>
      </x:c>
      <x:c r="L40" s="111" t="n">
        <x:v>6</x:v>
      </x:c>
      <x:c r="M40" s="111" t="str">
        <x:v>-6</x:v>
      </x:c>
      <x:c r="N40" s="111" t="str">
        <x:v>https://www.sec.gov/Archives/edgar/data/1692819/000169281926000019/vistra-20260630.htm</x:v>
      </x:c>
      <x:c r="O40" s="111" t="str">
        <x:v>10-Q balance sheet p. 2; cash flows p. 5; Note 12</x:v>
      </x:c>
      <x:c r="P40" s="111"/>
      <x:c r="Q40" s="111"/>
      <x:c r="R40" s="96"/>
    </x:row>
    <x:row r="41" ht="52" customHeight="1">
      <x:c r="A41" s="93" t="str">
        <x:v>project_debt</x:v>
      </x:c>
      <x:c r="B41" s="121" t="n">
        <x:v>1633000000</x:v>
      </x:c>
      <x:c r="C41" s="111" t="str">
        <x:v>Project debt principal</x:v>
      </x:c>
      <x:c r="D41" s="122"/>
      <x:c r="E41" s="122" t="d">
        <x:v>2026-06-30T00:00:00.000Z</x:v>
      </x:c>
      <x:c r="F41" s="111" t="str">
        <x:v>10-Q</x:v>
      </x:c>
      <x:c r="G41" s="122" t="d">
        <x:v>2026-08-10T00:00:00.000Z</x:v>
      </x:c>
      <x:c r="H41" s="111" t="str">
        <x:v>0001692819-26-000019</x:v>
      </x:c>
      <x:c r="I41" s="111" t="str">
        <x:v>us-gaap:DebtInstrumentCarryingAmount</x:v>
      </x:c>
      <x:c r="J41" s="111" t="str">
        <x:v>c-590</x:v>
      </x:c>
      <x:c r="K41" s="111" t="str">
        <x:v>[["us-gaap:LongtermDebtTypeAxis","vistra:ProjectLevelDebtMember"]]</x:v>
      </x:c>
      <x:c r="L41" s="111" t="n">
        <x:v>6</x:v>
      </x:c>
      <x:c r="M41" s="111" t="str">
        <x:v>-6</x:v>
      </x:c>
      <x:c r="N41" s="111" t="str">
        <x:v>https://www.sec.gov/Archives/edgar/data/1692819/000169281926000019/vistra-20260630.htm</x:v>
      </x:c>
      <x:c r="O41" s="111" t="str">
        <x:v>10-Q Note 12, pp. 20–28</x:v>
      </x:c>
      <x:c r="P41" s="111"/>
      <x:c r="Q41" s="111"/>
      <x:c r="R41" s="96"/>
    </x:row>
    <x:row r="42" ht="52" customHeight="1">
      <x:c r="A42" s="93" t="str">
        <x:v>operations_debt</x:v>
      </x:c>
      <x:c r="B42" s="121" t="n">
        <x:v>18131000000</x:v>
      </x:c>
      <x:c r="C42" s="111" t="str">
        <x:v>Vistra Operations debt principal</x:v>
      </x:c>
      <x:c r="D42" s="122"/>
      <x:c r="E42" s="122" t="d">
        <x:v>2026-06-30T00:00:00.000Z</x:v>
      </x:c>
      <x:c r="F42" s="111" t="str">
        <x:v>10-Q</x:v>
      </x:c>
      <x:c r="G42" s="122" t="d">
        <x:v>2026-08-10T00:00:00.000Z</x:v>
      </x:c>
      <x:c r="H42" s="111" t="str">
        <x:v>0001692819-26-000019</x:v>
      </x:c>
      <x:c r="I42" s="111" t="str">
        <x:v>us-gaap:DebtInstrumentCarryingAmount</x:v>
      </x:c>
      <x:c r="J42" s="111" t="str">
        <x:v>c-592</x:v>
      </x:c>
      <x:c r="K42" s="111" t="str">
        <x:v>[["us-gaap:LongtermDebtTypeAxis","vistra:VistraOperationsDebtMember"]]</x:v>
      </x:c>
      <x:c r="L42" s="111" t="n">
        <x:v>6</x:v>
      </x:c>
      <x:c r="M42" s="111" t="str">
        <x:v>-6</x:v>
      </x:c>
      <x:c r="N42" s="111" t="str">
        <x:v>https://www.sec.gov/Archives/edgar/data/1692819/000169281926000019/vistra-20260630.htm</x:v>
      </x:c>
      <x:c r="O42" s="111" t="str">
        <x:v>10-Q Note 12, pp. 20–28</x:v>
      </x:c>
      <x:c r="P42" s="111"/>
      <x:c r="Q42" s="111"/>
      <x:c r="R42" s="96"/>
    </x:row>
    <x:row r="43" ht="52" customHeight="1">
      <x:c r="A43" s="93" t="str">
        <x:v>bridge</x:v>
      </x:c>
      <x:c r="B43" s="121" t="n">
        <x:v>261000000</x:v>
      </x:c>
      <x:c r="C43" s="111" t="str">
        <x:v>Pulaski bridge loan</x:v>
      </x:c>
      <x:c r="D43" s="122"/>
      <x:c r="E43" s="122" t="d">
        <x:v>2026-06-30T00:00:00.000Z</x:v>
      </x:c>
      <x:c r="F43" s="111" t="str">
        <x:v>10-Q</x:v>
      </x:c>
      <x:c r="G43" s="122" t="d">
        <x:v>2026-08-10T00:00:00.000Z</x:v>
      </x:c>
      <x:c r="H43" s="111" t="str">
        <x:v>0001692819-26-000019</x:v>
      </x:c>
      <x:c r="I43" s="111" t="str">
        <x:v>vistra:LineOfCreditFacilityBorrowingsOutstanding</x:v>
      </x:c>
      <x:c r="J43" s="111" t="str">
        <x:v>c-598</x:v>
      </x:c>
      <x:c r="K43" s="111" t="str">
        <x:v>[["us-gaap:LongtermDebtTypeAxis","us-gaap:BridgeLoanMember"],["us-gaap:DebtInstrumentAxis","vistra:BCOPCreditFacilitiesMember"]]</x:v>
      </x:c>
      <x:c r="L43" s="111" t="n">
        <x:v>6</x:v>
      </x:c>
      <x:c r="M43" s="111" t="str">
        <x:v>-6</x:v>
      </x:c>
      <x:c r="N43" s="111" t="str">
        <x:v>https://www.sec.gov/Archives/edgar/data/1692819/000169281926000019/vistra-20260630.htm</x:v>
      </x:c>
      <x:c r="O43" s="111" t="str">
        <x:v>10-Q Note 12, pp. 20–28</x:v>
      </x:c>
      <x:c r="P43" s="111"/>
      <x:c r="Q43" s="111"/>
      <x:c r="R43" s="96"/>
    </x:row>
    <x:row r="44" ht="52" customHeight="1">
      <x:c r="A44" s="93" t="str">
        <x:v>construction_total</x:v>
      </x:c>
      <x:c r="B44" s="121" t="n">
        <x:v>503000000</x:v>
      </x:c>
      <x:c r="C44" s="111" t="str">
        <x:v>BCOP construction and term loans</x:v>
      </x:c>
      <x:c r="D44" s="122"/>
      <x:c r="E44" s="122" t="d">
        <x:v>2026-06-30T00:00:00.000Z</x:v>
      </x:c>
      <x:c r="F44" s="111" t="str">
        <x:v>10-Q</x:v>
      </x:c>
      <x:c r="G44" s="122" t="d">
        <x:v>2026-08-10T00:00:00.000Z</x:v>
      </x:c>
      <x:c r="H44" s="111" t="str">
        <x:v>0001692819-26-000019</x:v>
      </x:c>
      <x:c r="I44" s="111" t="str">
        <x:v>vistra:LineOfCreditFacilityBorrowingsOutstanding</x:v>
      </x:c>
      <x:c r="J44" s="111" t="str">
        <x:v>c-600</x:v>
      </x:c>
      <x:c r="K44" s="111" t="str">
        <x:v>[["us-gaap:LongtermDebtTypeAxis","vistra:ConstructionAndTermLoansMember"],["us-gaap:DebtInstrumentAxis","vistra:BCOPCreditFacilitiesMember"]]</x:v>
      </x:c>
      <x:c r="L44" s="111" t="n">
        <x:v>6</x:v>
      </x:c>
      <x:c r="M44" s="111" t="str">
        <x:v>-6</x:v>
      </x:c>
      <x:c r="N44" s="111" t="str">
        <x:v>https://www.sec.gov/Archives/edgar/data/1692819/000169281926000019/vistra-20260630.htm</x:v>
      </x:c>
      <x:c r="O44" s="111" t="str">
        <x:v>10-Q Note 12, pp. 20–28</x:v>
      </x:c>
      <x:c r="P44" s="111"/>
      <x:c r="Q44" s="111"/>
      <x:c r="R44" s="96"/>
    </x:row>
    <x:row r="45" ht="52" customHeight="1">
      <x:c r="A45" s="93" t="str">
        <x:v>pulaski_construction</x:v>
      </x:c>
      <x:c r="B45" s="121" t="n">
        <x:v>297000000</x:v>
      </x:c>
      <x:c r="C45" s="111" t="str">
        <x:v>Pulaski construction loan</x:v>
      </x:c>
      <x:c r="D45" s="122"/>
      <x:c r="E45" s="122" t="d">
        <x:v>2026-06-30T00:00:00.000Z</x:v>
      </x:c>
      <x:c r="F45" s="111" t="str">
        <x:v>10-Q</x:v>
      </x:c>
      <x:c r="G45" s="122" t="d">
        <x:v>2026-08-10T00:00:00.000Z</x:v>
      </x:c>
      <x:c r="H45" s="111" t="str">
        <x:v>0001692819-26-000019</x:v>
      </x:c>
      <x:c r="I45" s="111" t="str">
        <x:v>us-gaap:DebtInstrumentFaceAmount</x:v>
      </x:c>
      <x:c r="J45" s="111" t="str">
        <x:v>c-685</x:v>
      </x:c>
      <x:c r="K45" s="111" t="str">
        <x:v>[["us-gaap:LongtermDebtTypeAxis","us-gaap:ConstructionLoansMember"],["us-gaap:DebtInstrumentAxis","vistra:PulaskiMember"]]</x:v>
      </x:c>
      <x:c r="L45" s="111" t="n">
        <x:v>6</x:v>
      </x:c>
      <x:c r="M45" s="111" t="str">
        <x:v>-6</x:v>
      </x:c>
      <x:c r="N45" s="111" t="str">
        <x:v>https://www.sec.gov/Archives/edgar/data/1692819/000169281926000019/vistra-20260630.htm</x:v>
      </x:c>
      <x:c r="O45" s="111" t="str">
        <x:v>10-Q Note 12, pp. 20–28</x:v>
      </x:c>
      <x:c r="P45" s="111"/>
      <x:c r="Q45" s="111"/>
      <x:c r="R45" s="96"/>
    </x:row>
    <x:row r="46" ht="52" customHeight="1">
      <x:c r="A46" s="93" t="str">
        <x:v>bcop_term</x:v>
      </x:c>
      <x:c r="B46" s="121" t="n">
        <x:v>206000000</x:v>
      </x:c>
      <x:c r="C46" s="111" t="str">
        <x:v>BCOP combined term loans</x:v>
      </x:c>
      <x:c r="D46" s="122"/>
      <x:c r="E46" s="122" t="d">
        <x:v>2026-06-30T00:00:00.000Z</x:v>
      </x:c>
      <x:c r="F46" s="111" t="str">
        <x:v>10-Q</x:v>
      </x:c>
      <x:c r="G46" s="122" t="d">
        <x:v>2026-08-10T00:00:00.000Z</x:v>
      </x:c>
      <x:c r="H46" s="111" t="str">
        <x:v>0001692819-26-000019</x:v>
      </x:c>
      <x:c r="I46" s="111" t="str">
        <x:v>us-gaap:DebtInstrumentFaceAmount</x:v>
      </x:c>
      <x:c r="J46" s="111" t="str">
        <x:v>c-686</x:v>
      </x:c>
      <x:c r="K46" s="111" t="str">
        <x:v>[["us-gaap:LongtermDebtTypeAxis","us-gaap:ConstructionLoansMember"],["us-gaap:DebtInstrumentAxis","vistra:CoffeenTermLoanMember"]]</x:v>
      </x:c>
      <x:c r="L46" s="111" t="n">
        <x:v>6</x:v>
      </x:c>
      <x:c r="M46" s="111" t="str">
        <x:v>-6</x:v>
      </x:c>
      <x:c r="N46" s="111" t="str">
        <x:v>https://www.sec.gov/Archives/edgar/data/1692819/000169281926000019/vistra-20260630.htm</x:v>
      </x:c>
      <x:c r="O46" s="111" t="str">
        <x:v>10-Q Note 12, pp. 20–28</x:v>
      </x:c>
      <x:c r="P46" s="111"/>
      <x:c r="Q46" s="111"/>
      <x:c r="R46" s="96"/>
    </x:row>
    <x:row r="47" ht="52" customHeight="1">
      <x:c r="A47" s="93" t="str">
        <x:v>zero_debt</x:v>
      </x:c>
      <x:c r="B47" s="121" t="n">
        <x:v>697000000</x:v>
      </x:c>
      <x:c r="C47" s="111" t="str">
        <x:v>Vistra Zero term loan</x:v>
      </x:c>
      <x:c r="D47" s="122"/>
      <x:c r="E47" s="122" t="d">
        <x:v>2026-06-30T00:00:00.000Z</x:v>
      </x:c>
      <x:c r="F47" s="111" t="str">
        <x:v>10-Q</x:v>
      </x:c>
      <x:c r="G47" s="122" t="d">
        <x:v>2026-08-10T00:00:00.000Z</x:v>
      </x:c>
      <x:c r="H47" s="111" t="str">
        <x:v>0001692819-26-000019</x:v>
      </x:c>
      <x:c r="I47" s="111" t="str">
        <x:v>vistra:LineOfCreditFacilityBorrowingsOutstanding</x:v>
      </x:c>
      <x:c r="J47" s="111" t="str">
        <x:v>c-664</x:v>
      </x:c>
      <x:c r="K47" s="111" t="str">
        <x:v>[["us-gaap:LongtermDebtTypeAxis","us-gaap:RevolvingCreditFacilityMember"],["us-gaap:DebtInstrumentAxis","vistra:VistraZeroTermLoanBFacilityMember"]]</x:v>
      </x:c>
      <x:c r="L47" s="111" t="n">
        <x:v>6</x:v>
      </x:c>
      <x:c r="M47" s="111" t="str">
        <x:v>-6</x:v>
      </x:c>
      <x:c r="N47" s="111" t="str">
        <x:v>https://www.sec.gov/Archives/edgar/data/1692819/000169281926000019/vistra-20260630.htm</x:v>
      </x:c>
      <x:c r="O47" s="111" t="str">
        <x:v>10-Q Note 12, pp. 20–28</x:v>
      </x:c>
      <x:c r="P47" s="111"/>
      <x:c r="Q47" s="111"/>
      <x:c r="R47" s="96"/>
    </x:row>
    <x:row r="48" ht="52" customHeight="1">
      <x:c r="A48" s="93" t="str">
        <x:v>txef_debt</x:v>
      </x:c>
      <x:c r="B48" s="121" t="n">
        <x:v>172000000</x:v>
      </x:c>
      <x:c r="C48" s="111" t="str">
        <x:v>Texas Energy Fund drawn loan</x:v>
      </x:c>
      <x:c r="D48" s="122"/>
      <x:c r="E48" s="122" t="d">
        <x:v>2026-06-30T00:00:00.000Z</x:v>
      </x:c>
      <x:c r="F48" s="111" t="str">
        <x:v>10-Q</x:v>
      </x:c>
      <x:c r="G48" s="122" t="d">
        <x:v>2026-08-10T00:00:00.000Z</x:v>
      </x:c>
      <x:c r="H48" s="111" t="str">
        <x:v>0001692819-26-000019</x:v>
      </x:c>
      <x:c r="I48" s="111" t="str">
        <x:v>vistra:LineOfCreditFacilityBorrowingsOutstanding</x:v>
      </x:c>
      <x:c r="J48" s="111" t="str">
        <x:v>c-665</x:v>
      </x:c>
      <x:c r="K48" s="111" t="str">
        <x:v>[["us-gaap:LongtermDebtTypeAxis","us-gaap:RevolvingCreditFacilityMember"],["us-gaap:DebtInstrumentAxis","vistra:TexasEnergyFundLoanMember"]]</x:v>
      </x:c>
      <x:c r="L48" s="111" t="n">
        <x:v>6</x:v>
      </x:c>
      <x:c r="M48" s="111" t="str">
        <x:v>-6</x:v>
      </x:c>
      <x:c r="N48" s="111" t="str">
        <x:v>https://www.sec.gov/Archives/edgar/data/1692819/000169281926000019/vistra-20260630.htm</x:v>
      </x:c>
      <x:c r="O48" s="111" t="str">
        <x:v>10-Q Note 12, pp. 20–28</x:v>
      </x:c>
      <x:c r="P48" s="111"/>
      <x:c r="Q48" s="111"/>
      <x:c r="R48" s="96"/>
    </x:row>
    <x:row r="49" ht="52" customHeight="1">
      <x:c r="A49" s="93" t="str">
        <x:v>nuveen_payment</x:v>
      </x:c>
      <x:c r="B49" s="121" t="n">
        <x:v>631000000</x:v>
      </x:c>
      <x:c r="C49" s="111" t="str">
        <x:v>Nuveen final principal and interest payment</x:v>
      </x:c>
      <x:c r="D49" s="122"/>
      <x:c r="E49" s="122" t="d">
        <x:v>2026-06-30T00:00:00.000Z</x:v>
      </x:c>
      <x:c r="F49" s="111" t="str">
        <x:v>10-Q</x:v>
      </x:c>
      <x:c r="G49" s="122" t="d">
        <x:v>2026-08-10T00:00:00.000Z</x:v>
      </x:c>
      <x:c r="H49" s="111" t="str">
        <x:v>0001692819-26-000019</x:v>
      </x:c>
      <x:c r="I49" s="111" t="str">
        <x:v>vistra:RedeemableNoncontrollingInterestToBePaidYearOne</x:v>
      </x:c>
      <x:c r="J49" s="111" t="str">
        <x:v>c-729</x:v>
      </x:c>
      <x:c r="K49" s="111" t="str">
        <x:v>[["srt:OwnershipAxis","vistra:VistraVisionMember"]]</x:v>
      </x:c>
      <x:c r="L49" s="111" t="n">
        <x:v>6</x:v>
      </x:c>
      <x:c r="M49" s="111" t="str">
        <x:v>-6</x:v>
      </x:c>
      <x:c r="N49" s="111" t="str">
        <x:v>https://www.sec.gov/Archives/edgar/data/1692819/000169281926000019/vistra-20260630.htm</x:v>
      </x:c>
      <x:c r="O49" s="111" t="str">
        <x:v>10-Q Note 12, pp. 20–28</x:v>
      </x:c>
      <x:c r="P49" s="111"/>
      <x:c r="Q49" s="111"/>
      <x:c r="R49" s="96"/>
    </x:row>
    <x:row r="50" ht="52" customHeight="1">
      <x:c r="A50" s="93" t="str">
        <x:v>notes_2026</x:v>
      </x:c>
      <x:c r="B50" s="121" t="n">
        <x:v>500000000</x:v>
      </x:c>
      <x:c r="C50" s="111" t="str">
        <x:v>5.050% senior notes</x:v>
      </x:c>
      <x:c r="D50" s="122"/>
      <x:c r="E50" s="122" t="d">
        <x:v>2026-06-30T00:00:00.000Z</x:v>
      </x:c>
      <x:c r="F50" s="111" t="str">
        <x:v>10-Q</x:v>
      </x:c>
      <x:c r="G50" s="122" t="d">
        <x:v>2026-08-10T00:00:00.000Z</x:v>
      </x:c>
      <x:c r="H50" s="111" t="str">
        <x:v>0001692819-26-000019</x:v>
      </x:c>
      <x:c r="I50" s="111" t="str">
        <x:v>us-gaap:LongTermDebtAndCapitalLeaseObligationsIncludingCurrentMaturities</x:v>
      </x:c>
      <x:c r="J50" s="111" t="str">
        <x:v>c-606</x:v>
      </x:c>
      <x:c r="K50" s="111" t="str">
        <x:v>[["us-gaap:LongtermDebtTypeAxis","vistra:VistraOperationsSeniorNotesMember"],["us-gaap:DebtInstrumentAxis","vistra:A5.050SeniorNotesDue2026Member"]]</x:v>
      </x:c>
      <x:c r="L50" s="111" t="n">
        <x:v>6</x:v>
      </x:c>
      <x:c r="M50" s="111" t="str">
        <x:v>-6</x:v>
      </x:c>
      <x:c r="N50" s="111" t="str">
        <x:v>https://www.sec.gov/Archives/edgar/data/1692819/000169281926000019/vistra-20260630.htm</x:v>
      </x:c>
      <x:c r="O50" s="111" t="str">
        <x:v>10-Q Note 12, pp. 20–28</x:v>
      </x:c>
      <x:c r="P50" s="111"/>
      <x:c r="Q50" s="111"/>
      <x:c r="R50" s="96"/>
    </x:row>
    <x:row r="51" ht="52" customHeight="1">
      <x:c r="A51" s="93" t="str">
        <x:v>notes_jan2027</x:v>
      </x:c>
      <x:c r="B51" s="121" t="n">
        <x:v>800000000</x:v>
      </x:c>
      <x:c r="C51" s="111" t="str">
        <x:v>3.700% senior notes</x:v>
      </x:c>
      <x:c r="D51" s="122"/>
      <x:c r="E51" s="122" t="d">
        <x:v>2026-06-30T00:00:00.000Z</x:v>
      </x:c>
      <x:c r="F51" s="111" t="str">
        <x:v>10-Q</x:v>
      </x:c>
      <x:c r="G51" s="122" t="d">
        <x:v>2026-08-10T00:00:00.000Z</x:v>
      </x:c>
      <x:c r="H51" s="111" t="str">
        <x:v>0001692819-26-000019</x:v>
      </x:c>
      <x:c r="I51" s="111" t="str">
        <x:v>us-gaap:LongTermDebtAndCapitalLeaseObligationsIncludingCurrentMaturities</x:v>
      </x:c>
      <x:c r="J51" s="111" t="str">
        <x:v>c-608</x:v>
      </x:c>
      <x:c r="K51" s="111" t="str">
        <x:v>[["us-gaap:LongtermDebtTypeAxis","vistra:VistraOperationsSeniorNotesMember"],["us-gaap:DebtInstrumentAxis","vistra:A3.700SeniorNotesDue2027Member"]]</x:v>
      </x:c>
      <x:c r="L51" s="111" t="n">
        <x:v>6</x:v>
      </x:c>
      <x:c r="M51" s="111" t="str">
        <x:v>-6</x:v>
      </x:c>
      <x:c r="N51" s="111" t="str">
        <x:v>https://www.sec.gov/Archives/edgar/data/1692819/000169281926000019/vistra-20260630.htm</x:v>
      </x:c>
      <x:c r="O51" s="111" t="str">
        <x:v>10-Q Note 12, pp. 20–28</x:v>
      </x:c>
      <x:c r="P51" s="111"/>
      <x:c r="Q51" s="111"/>
      <x:c r="R51" s="96"/>
    </x:row>
    <x:row r="52" ht="52" customHeight="1">
      <x:c r="A52" s="93" t="str">
        <x:v>notes_jul2027</x:v>
      </x:c>
      <x:c r="B52" s="121" t="n">
        <x:v>1300000000</x:v>
      </x:c>
      <x:c r="C52" s="111" t="str">
        <x:v>5.000% senior notes</x:v>
      </x:c>
      <x:c r="D52" s="122"/>
      <x:c r="E52" s="122" t="d">
        <x:v>2026-06-30T00:00:00.000Z</x:v>
      </x:c>
      <x:c r="F52" s="111" t="str">
        <x:v>10-Q</x:v>
      </x:c>
      <x:c r="G52" s="122" t="d">
        <x:v>2026-08-10T00:00:00.000Z</x:v>
      </x:c>
      <x:c r="H52" s="111" t="str">
        <x:v>0001692819-26-000019</x:v>
      </x:c>
      <x:c r="I52" s="111" t="str">
        <x:v>us-gaap:LongTermDebtAndCapitalLeaseObligationsIncludingCurrentMaturities</x:v>
      </x:c>
      <x:c r="J52" s="111" t="str">
        <x:v>c-612</x:v>
      </x:c>
      <x:c r="K52" s="111" t="str">
        <x:v>[["us-gaap:LongtermDebtTypeAxis","vistra:VistraOperationsSeniorNotesMember"],["us-gaap:DebtInstrumentAxis","vistra:A5.000SeniorNotesDue2027Member"]]</x:v>
      </x:c>
      <x:c r="L52" s="111" t="n">
        <x:v>6</x:v>
      </x:c>
      <x:c r="M52" s="111" t="str">
        <x:v>-6</x:v>
      </x:c>
      <x:c r="N52" s="111" t="str">
        <x:v>https://www.sec.gov/Archives/edgar/data/1692819/000169281926000019/vistra-20260630.htm</x:v>
      </x:c>
      <x:c r="O52" s="111" t="str">
        <x:v>10-Q Note 12, pp. 20–28</x:v>
      </x:c>
      <x:c r="P52" s="111"/>
      <x:c r="Q52" s="111"/>
      <x:c r="R52" s="96"/>
    </x:row>
    <x:row r="53" ht="52" customHeight="1">
      <x:c r="A53" s="93" t="str">
        <x:v>loc_other</x:v>
      </x:c>
      <x:c r="B53" s="121" t="n">
        <x:v>1759000000</x:v>
      </x:c>
      <x:c r="C53" s="111" t="str">
        <x:v>Other LOC facilities outstanding</x:v>
      </x:c>
      <x:c r="D53" s="122"/>
      <x:c r="E53" s="122" t="d">
        <x:v>2026-06-30T00:00:00.000Z</x:v>
      </x:c>
      <x:c r="F53" s="111" t="str">
        <x:v>10-Q</x:v>
      </x:c>
      <x:c r="G53" s="122" t="d">
        <x:v>2026-08-10T00:00:00.000Z</x:v>
      </x:c>
      <x:c r="H53" s="111" t="str">
        <x:v>0001692819-26-000019</x:v>
      </x:c>
      <x:c r="I53" s="111" t="str">
        <x:v>us-gaap:LettersOfCreditOutstandingAmount</x:v>
      </x:c>
      <x:c r="J53" s="111" t="str">
        <x:v>c-701</x:v>
      </x:c>
      <x:c r="K53" s="111" t="str">
        <x:v>[["us-gaap:LongtermDebtTypeAxis","us-gaap:LetterOfCreditMember"],["us-gaap:DebtInstrumentAxis","vistra:SecuredLetterOfCreditFacilitiesMember"],["dei:LegalEntityAxis","vistra:VistraOperationsCompanyLLCMember"]]</x:v>
      </x:c>
      <x:c r="L53" s="111" t="n">
        <x:v>9</x:v>
      </x:c>
      <x:c r="M53" s="111" t="str">
        <x:v>-6</x:v>
      </x:c>
      <x:c r="N53" s="111" t="str">
        <x:v>https://www.sec.gov/Archives/edgar/data/1692819/000169281926000019/vistra-20260630.htm</x:v>
      </x:c>
      <x:c r="O53" s="111" t="str">
        <x:v>10-Q Note 12, pp. 20–28</x:v>
      </x:c>
      <x:c r="P53" s="111"/>
      <x:c r="Q53" s="111"/>
      <x:c r="R53" s="96"/>
    </x:row>
    <x:row r="54" ht="52" customHeight="1">
      <x:c r="A54" s="93" t="str">
        <x:v>loc_alternative</x:v>
      </x:c>
      <x:c r="B54" s="121" t="n">
        <x:v>736000000</x:v>
      </x:c>
      <x:c r="C54" s="111" t="str">
        <x:v>Alternative LOC facilities outstanding</x:v>
      </x:c>
      <x:c r="D54" s="122"/>
      <x:c r="E54" s="122" t="d">
        <x:v>2026-06-30T00:00:00.000Z</x:v>
      </x:c>
      <x:c r="F54" s="111" t="str">
        <x:v>10-Q</x:v>
      </x:c>
      <x:c r="G54" s="122" t="d">
        <x:v>2026-08-10T00:00:00.000Z</x:v>
      </x:c>
      <x:c r="H54" s="111" t="str">
        <x:v>0001692819-26-000019</x:v>
      </x:c>
      <x:c r="I54" s="111" t="str">
        <x:v>us-gaap:LettersOfCreditOutstandingAmount</x:v>
      </x:c>
      <x:c r="J54" s="111" t="str">
        <x:v>c-704</x:v>
      </x:c>
      <x:c r="K54" s="111" t="str">
        <x:v>[["us-gaap:CreditFacilityAxis","us-gaap:LetterOfCreditMember"],["us-gaap:DebtInstrumentAxis","vistra:AlternateLetterOfCreditFacilityMember"]]</x:v>
      </x:c>
      <x:c r="L54" s="111" t="n">
        <x:v>6</x:v>
      </x:c>
      <x:c r="M54" s="111" t="str">
        <x:v>-6</x:v>
      </x:c>
      <x:c r="N54" s="111" t="str">
        <x:v>https://www.sec.gov/Archives/edgar/data/1692819/000169281926000019/vistra-20260630.htm</x:v>
      </x:c>
      <x:c r="O54" s="111" t="str">
        <x:v>10-Q Note 12, pp. 20–28</x:v>
      </x:c>
      <x:c r="P54" s="111"/>
      <x:c r="Q54" s="111"/>
      <x:c r="R54" s="96"/>
    </x:row>
    <x:row r="55" ht="52" customHeight="1">
      <x:c r="A55" s="93" t="str">
        <x:v>loc_total</x:v>
      </x:c>
      <x:c r="B55" s="121" t="n">
        <x:v>3587000000</x:v>
      </x:c>
      <x:c r="C55" s="111" t="str">
        <x:v>Reported letters of credit total</x:v>
      </x:c>
      <x:c r="D55" s="122"/>
      <x:c r="E55" s="122" t="d">
        <x:v>2026-06-30T00:00:00.000Z</x:v>
      </x:c>
      <x:c r="F55" s="111" t="str">
        <x:v>10-Q</x:v>
      </x:c>
      <x:c r="G55" s="122" t="d">
        <x:v>2026-08-10T00:00:00.000Z</x:v>
      </x:c>
      <x:c r="H55" s="111" t="str">
        <x:v>0001692819-26-000019</x:v>
      </x:c>
      <x:c r="I55" s="111" t="str">
        <x:v>us-gaap:LettersOfCreditOutstandingAmount</x:v>
      </x:c>
      <x:c r="J55" s="111" t="str">
        <x:v>c-970</x:v>
      </x:c>
      <x:c r="K55" s="111" t="str">
        <x:v>[["us-gaap:GuaranteeObligationsByNatureAxis","us-gaap:FinancialStandbyLetterOfCreditMember"],["dei:LegalEntityAxis","vistra:VistraOperationsCompanyLLCMember"]]</x:v>
      </x:c>
      <x:c r="L55" s="111" t="n">
        <x:v>9</x:v>
      </x:c>
      <x:c r="M55" s="111" t="str">
        <x:v>-6</x:v>
      </x:c>
      <x:c r="N55" s="111" t="str">
        <x:v>https://www.sec.gov/Archives/edgar/data/1692819/000169281926000019/vistra-20260630.htm</x:v>
      </x:c>
      <x:c r="O55" s="111" t="str">
        <x:v>10-Q Note 12, pp. 20–28</x:v>
      </x:c>
      <x:c r="P55" s="111"/>
      <x:c r="Q55" s="111"/>
      <x:c r="R55" s="96"/>
    </x:row>
    <x:row r="56" ht="52" customHeight="1">
      <x:c r="A56" s="93" t="str">
        <x:v>revolver_limit</x:v>
      </x:c>
      <x:c r="B56" s="121" t="n">
        <x:v>5500000000</x:v>
      </x:c>
      <x:c r="C56" s="111" t="str">
        <x:v>Revolver limit</x:v>
      </x:c>
      <x:c r="D56" s="122"/>
      <x:c r="E56" s="122" t="d">
        <x:v>2026-06-30T00:00:00.000Z</x:v>
      </x:c>
      <x:c r="F56" s="111" t="str">
        <x:v>10-Q</x:v>
      </x:c>
      <x:c r="G56" s="122" t="d">
        <x:v>2026-08-10T00:00:00.000Z</x:v>
      </x:c>
      <x:c r="H56" s="111" t="str">
        <x:v>0001692819-26-000019</x:v>
      </x:c>
      <x:c r="I56" s="111" t="str">
        <x:v>us-gaap:LineOfCreditFacilityMaximumBorrowingCapacity</x:v>
      </x:c>
      <x:c r="J56" s="111" t="str">
        <x:v>c-660</x:v>
      </x:c>
      <x:c r="K56" s="111" t="str">
        <x:v>[["us-gaap:LongtermDebtTypeAxis","us-gaap:LineOfCreditMember"],["us-gaap:DebtInstrumentAxis","vistra:SeniorSecuredRevolvingCreditFacilityMember"]]</x:v>
      </x:c>
      <x:c r="L56" s="111" t="n">
        <x:v>6</x:v>
      </x:c>
      <x:c r="M56" s="111" t="str">
        <x:v>-6</x:v>
      </x:c>
      <x:c r="N56" s="111" t="str">
        <x:v>https://www.sec.gov/Archives/edgar/data/1692819/000169281926000019/vistra-20260630.htm</x:v>
      </x:c>
      <x:c r="O56" s="111" t="str">
        <x:v>10-Q Note 12, pp. 20–28</x:v>
      </x:c>
      <x:c r="P56" s="111"/>
      <x:c r="Q56" s="111"/>
      <x:c r="R56" s="96"/>
    </x:row>
    <x:row r="57" ht="52" customHeight="1">
      <x:c r="A57" s="93" t="str">
        <x:v>revolver_drawn</x:v>
      </x:c>
      <x:c r="B57" s="121" t="n">
        <x:v>0</x:v>
      </x:c>
      <x:c r="C57" s="111" t="str">
        <x:v>Revolver drawn</x:v>
      </x:c>
      <x:c r="D57" s="122"/>
      <x:c r="E57" s="122" t="d">
        <x:v>2026-06-30T00:00:00.000Z</x:v>
      </x:c>
      <x:c r="F57" s="111" t="str">
        <x:v>10-Q</x:v>
      </x:c>
      <x:c r="G57" s="122" t="d">
        <x:v>2026-08-10T00:00:00.000Z</x:v>
      </x:c>
      <x:c r="H57" s="111" t="str">
        <x:v>0001692819-26-000019</x:v>
      </x:c>
      <x:c r="I57" s="111" t="str">
        <x:v>vistra:LineOfCreditFacilityBorrowingsOutstanding</x:v>
      </x:c>
      <x:c r="J57" s="111" t="str">
        <x:v>c-660</x:v>
      </x:c>
      <x:c r="K57" s="111" t="str">
        <x:v>[["us-gaap:LongtermDebtTypeAxis","us-gaap:LineOfCreditMember"],["us-gaap:DebtInstrumentAxis","vistra:SeniorSecuredRevolvingCreditFacilityMember"]]</x:v>
      </x:c>
      <x:c r="L57" s="111" t="n">
        <x:v>6</x:v>
      </x:c>
      <x:c r="M57" s="111" t="str">
        <x:v>-6</x:v>
      </x:c>
      <x:c r="N57" s="111" t="str">
        <x:v>https://www.sec.gov/Archives/edgar/data/1692819/000169281926000019/vistra-20260630.htm</x:v>
      </x:c>
      <x:c r="O57" s="111" t="str">
        <x:v>10-Q Note 12, pp. 20–28</x:v>
      </x:c>
      <x:c r="P57" s="111"/>
      <x:c r="Q57" s="111"/>
      <x:c r="R57" s="96"/>
    </x:row>
    <x:row r="58" ht="52" customHeight="1">
      <x:c r="A58" s="93" t="str">
        <x:v>revolver_lc</x:v>
      </x:c>
      <x:c r="B58" s="121" t="n">
        <x:v>1092000000</x:v>
      </x:c>
      <x:c r="C58" s="111" t="str">
        <x:v>Revolver lc</x:v>
      </x:c>
      <x:c r="D58" s="122"/>
      <x:c r="E58" s="122" t="d">
        <x:v>2026-06-30T00:00:00.000Z</x:v>
      </x:c>
      <x:c r="F58" s="111" t="str">
        <x:v>10-Q</x:v>
      </x:c>
      <x:c r="G58" s="122" t="d">
        <x:v>2026-08-10T00:00:00.000Z</x:v>
      </x:c>
      <x:c r="H58" s="111" t="str">
        <x:v>0001692819-26-000019</x:v>
      </x:c>
      <x:c r="I58" s="111" t="str">
        <x:v>vistra:LineOfCreditFacilityLettersOfCreditOutstanding</x:v>
      </x:c>
      <x:c r="J58" s="111" t="str">
        <x:v>c-660</x:v>
      </x:c>
      <x:c r="K58" s="111" t="str">
        <x:v>[["us-gaap:LongtermDebtTypeAxis","us-gaap:LineOfCreditMember"],["us-gaap:DebtInstrumentAxis","vistra:SeniorSecuredRevolvingCreditFacilityMember"]]</x:v>
      </x:c>
      <x:c r="L58" s="111" t="n">
        <x:v>6</x:v>
      </x:c>
      <x:c r="M58" s="111" t="str">
        <x:v>-6</x:v>
      </x:c>
      <x:c r="N58" s="111" t="str">
        <x:v>https://www.sec.gov/Archives/edgar/data/1692819/000169281926000019/vistra-20260630.htm</x:v>
      </x:c>
      <x:c r="O58" s="111" t="str">
        <x:v>10-Q Note 12, pp. 20–28</x:v>
      </x:c>
      <x:c r="P58" s="111"/>
      <x:c r="Q58" s="111"/>
      <x:c r="R58" s="96"/>
    </x:row>
    <x:row r="59" ht="52" customHeight="1">
      <x:c r="A59" s="93" t="str">
        <x:v>revolver_available</x:v>
      </x:c>
      <x:c r="B59" s="121" t="n">
        <x:v>4408000000</x:v>
      </x:c>
      <x:c r="C59" s="111" t="str">
        <x:v>Revolver available</x:v>
      </x:c>
      <x:c r="D59" s="122"/>
      <x:c r="E59" s="122" t="d">
        <x:v>2026-06-30T00:00:00.000Z</x:v>
      </x:c>
      <x:c r="F59" s="111" t="str">
        <x:v>10-Q</x:v>
      </x:c>
      <x:c r="G59" s="122" t="d">
        <x:v>2026-08-10T00:00:00.000Z</x:v>
      </x:c>
      <x:c r="H59" s="111" t="str">
        <x:v>0001692819-26-000019</x:v>
      </x:c>
      <x:c r="I59" s="111" t="str">
        <x:v>us-gaap:LineOfCreditFacilityRemainingBorrowingCapacity</x:v>
      </x:c>
      <x:c r="J59" s="111" t="str">
        <x:v>c-660</x:v>
      </x:c>
      <x:c r="K59" s="111" t="str">
        <x:v>[["us-gaap:LongtermDebtTypeAxis","us-gaap:LineOfCreditMember"],["us-gaap:DebtInstrumentAxis","vistra:SeniorSecuredRevolvingCreditFacilityMember"]]</x:v>
      </x:c>
      <x:c r="L59" s="111" t="n">
        <x:v>6</x:v>
      </x:c>
      <x:c r="M59" s="111" t="str">
        <x:v>-6</x:v>
      </x:c>
      <x:c r="N59" s="111" t="str">
        <x:v>https://www.sec.gov/Archives/edgar/data/1692819/000169281926000019/vistra-20260630.htm</x:v>
      </x:c>
      <x:c r="O59" s="111" t="str">
        <x:v>10-Q Note 12, pp. 20–28</x:v>
      </x:c>
      <x:c r="P59" s="111"/>
      <x:c r="Q59" s="111"/>
      <x:c r="R59" s="96"/>
    </x:row>
    <x:row r="60" ht="52" customHeight="1">
      <x:c r="A60" s="93" t="str">
        <x:v>commodity_limit</x:v>
      </x:c>
      <x:c r="B60" s="121" t="n">
        <x:v>1750000000</x:v>
      </x:c>
      <x:c r="C60" s="111" t="str">
        <x:v>Commodity limit</x:v>
      </x:c>
      <x:c r="D60" s="122"/>
      <x:c r="E60" s="122" t="d">
        <x:v>2026-06-30T00:00:00.000Z</x:v>
      </x:c>
      <x:c r="F60" s="111" t="str">
        <x:v>10-Q</x:v>
      </x:c>
      <x:c r="G60" s="122" t="d">
        <x:v>2026-08-10T00:00:00.000Z</x:v>
      </x:c>
      <x:c r="H60" s="111" t="str">
        <x:v>0001692819-26-000019</x:v>
      </x:c>
      <x:c r="I60" s="111" t="str">
        <x:v>us-gaap:LineOfCreditFacilityMaximumBorrowingCapacity</x:v>
      </x:c>
      <x:c r="J60" s="111" t="str">
        <x:v>c-662</x:v>
      </x:c>
      <x:c r="K60" s="111" t="str">
        <x:v>[["us-gaap:LongtermDebtTypeAxis","us-gaap:RevolvingCreditFacilityMember"],["us-gaap:DebtInstrumentAxis","vistra:SeniorSecuredCommodityLinkedRevolvingCreditFacilityMember"]]</x:v>
      </x:c>
      <x:c r="L60" s="111" t="n">
        <x:v>6</x:v>
      </x:c>
      <x:c r="M60" s="111" t="str">
        <x:v>-6</x:v>
      </x:c>
      <x:c r="N60" s="111" t="str">
        <x:v>https://www.sec.gov/Archives/edgar/data/1692819/000169281926000019/vistra-20260630.htm</x:v>
      </x:c>
      <x:c r="O60" s="111" t="str">
        <x:v>10-Q Note 12, pp. 20–28</x:v>
      </x:c>
      <x:c r="P60" s="111"/>
      <x:c r="Q60" s="111"/>
      <x:c r="R60" s="96"/>
    </x:row>
    <x:row r="61" ht="52" customHeight="1">
      <x:c r="A61" s="93" t="str">
        <x:v>commodity_drawn</x:v>
      </x:c>
      <x:c r="B61" s="121" t="n">
        <x:v>0</x:v>
      </x:c>
      <x:c r="C61" s="111" t="str">
        <x:v>Commodity drawn</x:v>
      </x:c>
      <x:c r="D61" s="122"/>
      <x:c r="E61" s="122" t="d">
        <x:v>2026-06-30T00:00:00.000Z</x:v>
      </x:c>
      <x:c r="F61" s="111" t="str">
        <x:v>10-Q</x:v>
      </x:c>
      <x:c r="G61" s="122" t="d">
        <x:v>2026-08-10T00:00:00.000Z</x:v>
      </x:c>
      <x:c r="H61" s="111" t="str">
        <x:v>0001692819-26-000019</x:v>
      </x:c>
      <x:c r="I61" s="111" t="str">
        <x:v>vistra:LineOfCreditFacilityBorrowingsOutstanding</x:v>
      </x:c>
      <x:c r="J61" s="111" t="str">
        <x:v>c-662</x:v>
      </x:c>
      <x:c r="K61" s="111" t="str">
        <x:v>[["us-gaap:LongtermDebtTypeAxis","us-gaap:RevolvingCreditFacilityMember"],["us-gaap:DebtInstrumentAxis","vistra:SeniorSecuredCommodityLinkedRevolvingCreditFacilityMember"]]</x:v>
      </x:c>
      <x:c r="L61" s="111" t="n">
        <x:v>6</x:v>
      </x:c>
      <x:c r="M61" s="111" t="str">
        <x:v>-6</x:v>
      </x:c>
      <x:c r="N61" s="111" t="str">
        <x:v>https://www.sec.gov/Archives/edgar/data/1692819/000169281926000019/vistra-20260630.htm</x:v>
      </x:c>
      <x:c r="O61" s="111" t="str">
        <x:v>10-Q Note 12, pp. 20–28</x:v>
      </x:c>
      <x:c r="P61" s="111"/>
      <x:c r="Q61" s="111"/>
      <x:c r="R61" s="96"/>
    </x:row>
    <x:row r="62" ht="52" customHeight="1">
      <x:c r="A62" s="93" t="str">
        <x:v>commodity_lc</x:v>
      </x:c>
      <x:c r="B62" s="121" t="n">
        <x:v>0</x:v>
      </x:c>
      <x:c r="C62" s="111" t="str">
        <x:v>Commodity lc</x:v>
      </x:c>
      <x:c r="D62" s="122"/>
      <x:c r="E62" s="122" t="d">
        <x:v>2026-06-30T00:00:00.000Z</x:v>
      </x:c>
      <x:c r="F62" s="111" t="str">
        <x:v>10-Q</x:v>
      </x:c>
      <x:c r="G62" s="122" t="d">
        <x:v>2026-08-10T00:00:00.000Z</x:v>
      </x:c>
      <x:c r="H62" s="111" t="str">
        <x:v>0001692819-26-000019</x:v>
      </x:c>
      <x:c r="I62" s="111" t="str">
        <x:v>vistra:LineOfCreditFacilityLettersOfCreditOutstanding</x:v>
      </x:c>
      <x:c r="J62" s="111" t="str">
        <x:v>c-662</x:v>
      </x:c>
      <x:c r="K62" s="111" t="str">
        <x:v>[["us-gaap:LongtermDebtTypeAxis","us-gaap:RevolvingCreditFacilityMember"],["us-gaap:DebtInstrumentAxis","vistra:SeniorSecuredCommodityLinkedRevolvingCreditFacilityMember"]]</x:v>
      </x:c>
      <x:c r="L62" s="111" t="n">
        <x:v>6</x:v>
      </x:c>
      <x:c r="M62" s="111" t="str">
        <x:v>-6</x:v>
      </x:c>
      <x:c r="N62" s="111" t="str">
        <x:v>https://www.sec.gov/Archives/edgar/data/1692819/000169281926000019/vistra-20260630.htm</x:v>
      </x:c>
      <x:c r="O62" s="111" t="str">
        <x:v>10-Q Note 12, pp. 20–28</x:v>
      </x:c>
      <x:c r="P62" s="111"/>
      <x:c r="Q62" s="111"/>
      <x:c r="R62" s="96"/>
    </x:row>
    <x:row r="63" ht="52" customHeight="1">
      <x:c r="A63" s="93" t="str">
        <x:v>commodity_available</x:v>
      </x:c>
      <x:c r="B63" s="121" t="n">
        <x:v>1452000000</x:v>
      </x:c>
      <x:c r="C63" s="111" t="str">
        <x:v>Commodity available</x:v>
      </x:c>
      <x:c r="D63" s="122"/>
      <x:c r="E63" s="122" t="d">
        <x:v>2026-06-30T00:00:00.000Z</x:v>
      </x:c>
      <x:c r="F63" s="111" t="str">
        <x:v>10-Q</x:v>
      </x:c>
      <x:c r="G63" s="122" t="d">
        <x:v>2026-08-10T00:00:00.000Z</x:v>
      </x:c>
      <x:c r="H63" s="111" t="str">
        <x:v>0001692819-26-000019</x:v>
      </x:c>
      <x:c r="I63" s="111" t="str">
        <x:v>us-gaap:LineOfCreditFacilityRemainingBorrowingCapacity</x:v>
      </x:c>
      <x:c r="J63" s="111" t="str">
        <x:v>c-662</x:v>
      </x:c>
      <x:c r="K63" s="111" t="str">
        <x:v>[["us-gaap:LongtermDebtTypeAxis","us-gaap:RevolvingCreditFacilityMember"],["us-gaap:DebtInstrumentAxis","vistra:SeniorSecuredCommodityLinkedRevolvingCreditFacilityMember"]]</x:v>
      </x:c>
      <x:c r="L63" s="111" t="n">
        <x:v>6</x:v>
      </x:c>
      <x:c r="M63" s="111" t="str">
        <x:v>-6</x:v>
      </x:c>
      <x:c r="N63" s="111" t="str">
        <x:v>https://www.sec.gov/Archives/edgar/data/1692819/000169281926000019/vistra-20260630.htm</x:v>
      </x:c>
      <x:c r="O63" s="111" t="str">
        <x:v>10-Q Note 12, pp. 20–28</x:v>
      </x:c>
      <x:c r="P63" s="111"/>
      <x:c r="Q63" s="111"/>
      <x:c r="R63" s="96"/>
    </x:row>
    <x:row r="64" ht="52" customHeight="1">
      <x:c r="A64" s="93" t="str">
        <x:v>bcop_available</x:v>
      </x:c>
      <x:c r="B64" s="121" t="n">
        <x:v>0</x:v>
      </x:c>
      <x:c r="C64" s="111" t="str">
        <x:v>BCOP reported unused capacity</x:v>
      </x:c>
      <x:c r="D64" s="122"/>
      <x:c r="E64" s="122" t="d">
        <x:v>2026-06-30T00:00:00.000Z</x:v>
      </x:c>
      <x:c r="F64" s="111" t="str">
        <x:v>10-Q</x:v>
      </x:c>
      <x:c r="G64" s="122" t="d">
        <x:v>2026-08-10T00:00:00.000Z</x:v>
      </x:c>
      <x:c r="H64" s="111" t="str">
        <x:v>0001692819-26-000019</x:v>
      </x:c>
      <x:c r="I64" s="111" t="str">
        <x:v>us-gaap:LineOfCreditFacilityRemainingBorrowingCapacity</x:v>
      </x:c>
      <x:c r="J64" s="111" t="str">
        <x:v>c-663</x:v>
      </x:c>
      <x:c r="K64" s="111" t="str">
        <x:v>[["us-gaap:DebtInstrumentAxis","vistra:BCOPCreditFacilitiesMember"]]</x:v>
      </x:c>
      <x:c r="L64" s="111" t="n">
        <x:v>6</x:v>
      </x:c>
      <x:c r="M64" s="111" t="str">
        <x:v>-6</x:v>
      </x:c>
      <x:c r="N64" s="111" t="str">
        <x:v>https://www.sec.gov/Archives/edgar/data/1692819/000169281926000019/vistra-20260630.htm</x:v>
      </x:c>
      <x:c r="O64" s="111" t="str">
        <x:v>10-Q Note 12, pp. 20–28</x:v>
      </x:c>
      <x:c r="P64" s="111"/>
      <x:c r="Q64" s="111"/>
      <x:c r="R64" s="96"/>
    </x:row>
    <x:row r="65" ht="52" customHeight="1">
      <x:c r="A65" s="93" t="str">
        <x:v>zero_available</x:v>
      </x:c>
      <x:c r="B65" s="121" t="n">
        <x:v>0</x:v>
      </x:c>
      <x:c r="C65" s="111" t="str">
        <x:v>ZERO reported unused capacity</x:v>
      </x:c>
      <x:c r="D65" s="122"/>
      <x:c r="E65" s="122" t="d">
        <x:v>2026-06-30T00:00:00.000Z</x:v>
      </x:c>
      <x:c r="F65" s="111" t="str">
        <x:v>10-Q</x:v>
      </x:c>
      <x:c r="G65" s="122" t="d">
        <x:v>2026-08-10T00:00:00.000Z</x:v>
      </x:c>
      <x:c r="H65" s="111" t="str">
        <x:v>0001692819-26-000019</x:v>
      </x:c>
      <x:c r="I65" s="111" t="str">
        <x:v>us-gaap:LineOfCreditFacilityRemainingBorrowingCapacity</x:v>
      </x:c>
      <x:c r="J65" s="111" t="str">
        <x:v>c-664</x:v>
      </x:c>
      <x:c r="K65" s="111" t="str">
        <x:v>[["us-gaap:LongtermDebtTypeAxis","us-gaap:RevolvingCreditFacilityMember"],["us-gaap:DebtInstrumentAxis","vistra:VistraZeroTermLoanBFacilityMember"]]</x:v>
      </x:c>
      <x:c r="L65" s="111" t="n">
        <x:v>6</x:v>
      </x:c>
      <x:c r="M65" s="111" t="str">
        <x:v>-6</x:v>
      </x:c>
      <x:c r="N65" s="111" t="str">
        <x:v>https://www.sec.gov/Archives/edgar/data/1692819/000169281926000019/vistra-20260630.htm</x:v>
      </x:c>
      <x:c r="O65" s="111" t="str">
        <x:v>10-Q Note 12, pp. 20–28</x:v>
      </x:c>
      <x:c r="P65" s="111"/>
      <x:c r="Q65" s="111"/>
      <x:c r="R65" s="96"/>
    </x:row>
    <x:row r="66" ht="52" customHeight="1">
      <x:c r="A66" s="93" t="str">
        <x:v>txef_available</x:v>
      </x:c>
      <x:c r="B66" s="121" t="n">
        <x:v>0</x:v>
      </x:c>
      <x:c r="C66" s="111" t="str">
        <x:v>TXEF reported unused capacity</x:v>
      </x:c>
      <x:c r="D66" s="122"/>
      <x:c r="E66" s="122" t="d">
        <x:v>2026-06-30T00:00:00.000Z</x:v>
      </x:c>
      <x:c r="F66" s="111" t="str">
        <x:v>10-Q</x:v>
      </x:c>
      <x:c r="G66" s="122" t="d">
        <x:v>2026-08-10T00:00:00.000Z</x:v>
      </x:c>
      <x:c r="H66" s="111" t="str">
        <x:v>0001692819-26-000019</x:v>
      </x:c>
      <x:c r="I66" s="111" t="str">
        <x:v>us-gaap:LineOfCreditFacilityRemainingBorrowingCapacity</x:v>
      </x:c>
      <x:c r="J66" s="111" t="str">
        <x:v>c-665</x:v>
      </x:c>
      <x:c r="K66" s="111" t="str">
        <x:v>[["us-gaap:LongtermDebtTypeAxis","us-gaap:RevolvingCreditFacilityMember"],["us-gaap:DebtInstrumentAxis","vistra:TexasEnergyFundLoanMember"]]</x:v>
      </x:c>
      <x:c r="L66" s="111" t="n">
        <x:v>6</x:v>
      </x:c>
      <x:c r="M66" s="111" t="str">
        <x:v>-6</x:v>
      </x:c>
      <x:c r="N66" s="111" t="str">
        <x:v>https://www.sec.gov/Archives/edgar/data/1692819/000169281926000019/vistra-20260630.htm</x:v>
      </x:c>
      <x:c r="O66" s="111" t="str">
        <x:v>10-Q Note 12, pp. 20–28</x:v>
      </x:c>
      <x:c r="P66" s="111"/>
      <x:c r="Q66" s="111"/>
      <x:c r="R66" s="96"/>
    </x:row>
    <x:row r="67" ht="52" customHeight="1">
      <x:c r="A67" s="93" t="str">
        <x:v>helix_initial</x:v>
      </x:c>
      <x:c r="B67" s="121" t="n">
        <x:v>500000000</x:v>
      </x:c>
      <x:c r="C67" s="111" t="str">
        <x:v>Helix Initial</x:v>
      </x:c>
      <x:c r="D67" s="122" t="d">
        <x:v>2026-06-01T00:00:00.000Z</x:v>
      </x:c>
      <x:c r="E67" s="122" t="d">
        <x:v>2026-06-30T00:00:00.000Z</x:v>
      </x:c>
      <x:c r="F67" s="111" t="str">
        <x:v>10-Q</x:v>
      </x:c>
      <x:c r="G67" s="122" t="d">
        <x:v>2026-08-10T00:00:00.000Z</x:v>
      </x:c>
      <x:c r="H67" s="111" t="str">
        <x:v>0001692819-26-000019</x:v>
      </x:c>
      <x:c r="I67" s="111" t="str">
        <x:v>vistra:InvestmentCompanyInitialCommitmentCapital</x:v>
      </x:c>
      <x:c r="J67" s="111" t="str">
        <x:v>c-510</x:v>
      </x:c>
      <x:c r="K67" s="111" t="str">
        <x:v>[]</x:v>
      </x:c>
      <x:c r="L67" s="111" t="n">
        <x:v>6</x:v>
      </x:c>
      <x:c r="M67" s="111" t="str">
        <x:v>-6</x:v>
      </x:c>
      <x:c r="N67" s="111" t="str">
        <x:v>https://www.sec.gov/Archives/edgar/data/1692819/000169281926000019/vistra-20260630.htm</x:v>
      </x:c>
      <x:c r="O67" s="111" t="str">
        <x:v>10-Q Note 7 p. 15; MD&amp;A p. 69</x:v>
      </x:c>
      <x:c r="P67" s="111"/>
      <x:c r="Q67" s="111"/>
      <x:c r="R67" s="96"/>
    </x:row>
    <x:row r="68" ht="52" customHeight="1">
      <x:c r="A68" s="93" t="str">
        <x:v>helix_additional</x:v>
      </x:c>
      <x:c r="B68" s="121" t="n">
        <x:v>500000000</x:v>
      </x:c>
      <x:c r="C68" s="111" t="str">
        <x:v>Helix Additional</x:v>
      </x:c>
      <x:c r="D68" s="122" t="d">
        <x:v>2026-06-01T00:00:00.000Z</x:v>
      </x:c>
      <x:c r="E68" s="122" t="d">
        <x:v>2026-06-30T00:00:00.000Z</x:v>
      </x:c>
      <x:c r="F68" s="111" t="str">
        <x:v>10-Q</x:v>
      </x:c>
      <x:c r="G68" s="122" t="d">
        <x:v>2026-08-10T00:00:00.000Z</x:v>
      </x:c>
      <x:c r="H68" s="111" t="str">
        <x:v>0001692819-26-000019</x:v>
      </x:c>
      <x:c r="I68" s="111" t="str">
        <x:v>vistra:InvestmentCompanyAdditionalCommitmentCapital</x:v>
      </x:c>
      <x:c r="J68" s="111" t="str">
        <x:v>c-510</x:v>
      </x:c>
      <x:c r="K68" s="111" t="str">
        <x:v>[]</x:v>
      </x:c>
      <x:c r="L68" s="111" t="n">
        <x:v>6</x:v>
      </x:c>
      <x:c r="M68" s="111" t="str">
        <x:v>-6</x:v>
      </x:c>
      <x:c r="N68" s="111" t="str">
        <x:v>https://www.sec.gov/Archives/edgar/data/1692819/000169281926000019/vistra-20260630.htm</x:v>
      </x:c>
      <x:c r="O68" s="111" t="str">
        <x:v>10-Q Note 7 p. 15; MD&amp;A p. 69</x:v>
      </x:c>
      <x:c r="P68" s="111"/>
      <x:c r="Q68" s="111"/>
      <x:c r="R68" s="96"/>
    </x:row>
    <x:row r="69" ht="52" customHeight="1">
      <x:c r="A69" s="93" t="str">
        <x:v>cogentrix</x:v>
      </x:c>
      <x:c r="B69" s="121" t="n">
        <x:v>2300000000</x:v>
      </x:c>
      <x:c r="C69" s="111" t="str">
        <x:v>Expected Cogentrix cash consideration</x:v>
      </x:c>
      <x:c r="D69" s="122" t="d">
        <x:v>2025-12-31T00:00:00.000Z</x:v>
      </x:c>
      <x:c r="E69" s="122" t="d">
        <x:v>2025-12-31T00:00:00.000Z</x:v>
      </x:c>
      <x:c r="F69" s="111" t="str">
        <x:v>10-Q</x:v>
      </x:c>
      <x:c r="G69" s="122" t="d">
        <x:v>2026-08-10T00:00:00.000Z</x:v>
      </x:c>
      <x:c r="H69" s="111" t="str">
        <x:v>0001692819-26-000019</x:v>
      </x:c>
      <x:c r="I69" s="111" t="str">
        <x:v>us-gaap:BusinessCombinationConsiderationTransferred1</x:v>
      </x:c>
      <x:c r="J69" s="111" t="str">
        <x:v>c-91</x:v>
      </x:c>
      <x:c r="K69" s="111" t="str">
        <x:v>[["us-gaap:BusinessAcquisitionAxis","vistra:CogentrixEnergyMember"]]</x:v>
      </x:c>
      <x:c r="L69" s="111" t="n">
        <x:v>9</x:v>
      </x:c>
      <x:c r="M69" s="111" t="str">
        <x:v>-8</x:v>
      </x:c>
      <x:c r="N69" s="111" t="str">
        <x:v>https://www.sec.gov/Archives/edgar/data/1692819/000169281926000019/vistra-20260630.htm</x:v>
      </x:c>
      <x:c r="O69" s="111" t="str">
        <x:v>10-Q Note 3 p. 9; expected closing late 2026</x:v>
      </x:c>
      <x:c r="P69" s="111"/>
      <x:c r="Q69" s="111"/>
      <x:c r="R69" s="96"/>
    </x:row>
    <x:row r="70" ht="52" customHeight="1">
      <x:c r="A70" s="93" t="str">
        <x:v>annual_0</x:v>
      </x:c>
      <x:c r="B70" s="121" t="n">
        <x:v>1201000000</x:v>
      </x:c>
      <x:c r="C70" s="111" t="str">
        <x:v>2026</x:v>
      </x:c>
      <x:c r="D70" s="122"/>
      <x:c r="E70" s="122" t="d">
        <x:v>2025-12-31T00:00:00.000Z</x:v>
      </x:c>
      <x:c r="F70" s="111" t="str">
        <x:v>10-K</x:v>
      </x:c>
      <x:c r="G70" s="122" t="d">
        <x:v>2026-02-27T00:00:00.000Z</x:v>
      </x:c>
      <x:c r="H70" s="111" t="str">
        <x:v>0001692819-26-000006</x:v>
      </x:c>
      <x:c r="I70" s="111" t="str">
        <x:v>us-gaap:LongTermDebtMaturitiesRepaymentsOfPrincipalInNextTwelveMonths</x:v>
      </x:c>
      <x:c r="J70" s="111" t="str">
        <x:v>c-7</x:v>
      </x:c>
      <x:c r="K70" s="111" t="str">
        <x:v>[]</x:v>
      </x:c>
      <x:c r="L70" s="111" t="n">
        <x:v>6</x:v>
      </x:c>
      <x:c r="M70" s="111" t="str">
        <x:v>-6</x:v>
      </x:c>
      <x:c r="N70" s="111" t="str">
        <x:v>https://www.sec.gov/Archives/edgar/data/1692819/000169281926000006/vistra-20251231.htm</x:v>
      </x:c>
      <x:c r="O70" s="111" t="str">
        <x:v>10-K Note 13, long-term debt maturities, pp. 114–115</x:v>
      </x:c>
      <x:c r="P70" s="111"/>
      <x:c r="Q70" s="111"/>
      <x:c r="R70" s="96"/>
    </x:row>
    <x:row r="71" ht="52" customHeight="1">
      <x:c r="A71" s="93" t="str">
        <x:v>annual_1</x:v>
      </x:c>
      <x:c r="B71" s="121" t="n">
        <x:v>3435000000</x:v>
      </x:c>
      <x:c r="C71" s="111" t="str">
        <x:v>2027</x:v>
      </x:c>
      <x:c r="D71" s="122"/>
      <x:c r="E71" s="122" t="d">
        <x:v>2025-12-31T00:00:00.000Z</x:v>
      </x:c>
      <x:c r="F71" s="111" t="str">
        <x:v>10-K</x:v>
      </x:c>
      <x:c r="G71" s="122" t="d">
        <x:v>2026-02-27T00:00:00.000Z</x:v>
      </x:c>
      <x:c r="H71" s="111" t="str">
        <x:v>0001692819-26-000006</x:v>
      </x:c>
      <x:c r="I71" s="111" t="str">
        <x:v>us-gaap:LongTermDebtMaturitiesRepaymentsOfPrincipalInYearTwo</x:v>
      </x:c>
      <x:c r="J71" s="111" t="str">
        <x:v>c-7</x:v>
      </x:c>
      <x:c r="K71" s="111" t="str">
        <x:v>[]</x:v>
      </x:c>
      <x:c r="L71" s="111" t="n">
        <x:v>6</x:v>
      </x:c>
      <x:c r="M71" s="111" t="str">
        <x:v>-6</x:v>
      </x:c>
      <x:c r="N71" s="111" t="str">
        <x:v>https://www.sec.gov/Archives/edgar/data/1692819/000169281926000006/vistra-20251231.htm</x:v>
      </x:c>
      <x:c r="O71" s="111" t="str">
        <x:v>10-K Note 13, long-term debt maturities, pp. 114–115</x:v>
      </x:c>
      <x:c r="P71" s="111"/>
      <x:c r="Q71" s="111"/>
      <x:c r="R71" s="96"/>
    </x:row>
    <x:row r="72" ht="52" customHeight="1">
      <x:c r="A72" s="93" t="str">
        <x:v>annual_2</x:v>
      </x:c>
      <x:c r="B72" s="121" t="n">
        <x:v>786000000</x:v>
      </x:c>
      <x:c r="C72" s="111" t="str">
        <x:v>2028</x:v>
      </x:c>
      <x:c r="D72" s="122"/>
      <x:c r="E72" s="122" t="d">
        <x:v>2025-12-31T00:00:00.000Z</x:v>
      </x:c>
      <x:c r="F72" s="111" t="str">
        <x:v>10-K</x:v>
      </x:c>
      <x:c r="G72" s="122" t="d">
        <x:v>2026-02-27T00:00:00.000Z</x:v>
      </x:c>
      <x:c r="H72" s="111" t="str">
        <x:v>0001692819-26-000006</x:v>
      </x:c>
      <x:c r="I72" s="111" t="str">
        <x:v>us-gaap:LongTermDebtMaturitiesRepaymentsOfPrincipalInYearThree</x:v>
      </x:c>
      <x:c r="J72" s="111" t="str">
        <x:v>c-7</x:v>
      </x:c>
      <x:c r="K72" s="111" t="str">
        <x:v>[]</x:v>
      </x:c>
      <x:c r="L72" s="111" t="n">
        <x:v>6</x:v>
      </x:c>
      <x:c r="M72" s="111" t="str">
        <x:v>-6</x:v>
      </x:c>
      <x:c r="N72" s="111" t="str">
        <x:v>https://www.sec.gov/Archives/edgar/data/1692819/000169281926000006/vistra-20251231.htm</x:v>
      </x:c>
      <x:c r="O72" s="111" t="str">
        <x:v>10-K Note 13, long-term debt maturities, pp. 114–115</x:v>
      </x:c>
      <x:c r="P72" s="111"/>
      <x:c r="Q72" s="111"/>
      <x:c r="R72" s="96"/>
    </x:row>
    <x:row r="73" ht="52" customHeight="1">
      <x:c r="A73" s="93" t="str">
        <x:v>annual_3</x:v>
      </x:c>
      <x:c r="B73" s="121" t="n">
        <x:v>2362000000</x:v>
      </x:c>
      <x:c r="C73" s="111" t="str">
        <x:v>2029</x:v>
      </x:c>
      <x:c r="D73" s="122"/>
      <x:c r="E73" s="122" t="d">
        <x:v>2025-12-31T00:00:00.000Z</x:v>
      </x:c>
      <x:c r="F73" s="111" t="str">
        <x:v>10-K</x:v>
      </x:c>
      <x:c r="G73" s="122" t="d">
        <x:v>2026-02-27T00:00:00.000Z</x:v>
      </x:c>
      <x:c r="H73" s="111" t="str">
        <x:v>0001692819-26-000006</x:v>
      </x:c>
      <x:c r="I73" s="111" t="str">
        <x:v>us-gaap:LongTermDebtMaturitiesRepaymentsOfPrincipalInYearFour</x:v>
      </x:c>
      <x:c r="J73" s="111" t="str">
        <x:v>c-7</x:v>
      </x:c>
      <x:c r="K73" s="111" t="str">
        <x:v>[]</x:v>
      </x:c>
      <x:c r="L73" s="111" t="n">
        <x:v>6</x:v>
      </x:c>
      <x:c r="M73" s="111" t="str">
        <x:v>-6</x:v>
      </x:c>
      <x:c r="N73" s="111" t="str">
        <x:v>https://www.sec.gov/Archives/edgar/data/1692819/000169281926000006/vistra-20251231.htm</x:v>
      </x:c>
      <x:c r="O73" s="111" t="str">
        <x:v>10-K Note 13, long-term debt maturities, pp. 114–115</x:v>
      </x:c>
      <x:c r="P73" s="111"/>
      <x:c r="Q73" s="111"/>
      <x:c r="R73" s="96"/>
    </x:row>
    <x:row r="74" ht="52" customHeight="1">
      <x:c r="A74" s="93" t="str">
        <x:v>annual_4</x:v>
      </x:c>
      <x:c r="B74" s="121" t="n">
        <x:v>2853000000</x:v>
      </x:c>
      <x:c r="C74" s="111" t="str">
        <x:v>2030</x:v>
      </x:c>
      <x:c r="D74" s="122"/>
      <x:c r="E74" s="122" t="d">
        <x:v>2025-12-31T00:00:00.000Z</x:v>
      </x:c>
      <x:c r="F74" s="111" t="str">
        <x:v>10-K</x:v>
      </x:c>
      <x:c r="G74" s="122" t="d">
        <x:v>2026-02-27T00:00:00.000Z</x:v>
      </x:c>
      <x:c r="H74" s="111" t="str">
        <x:v>0001692819-26-000006</x:v>
      </x:c>
      <x:c r="I74" s="111" t="str">
        <x:v>us-gaap:LongTermDebtMaturitiesRepaymentsOfPrincipalInYearFive</x:v>
      </x:c>
      <x:c r="J74" s="111" t="str">
        <x:v>c-7</x:v>
      </x:c>
      <x:c r="K74" s="111" t="str">
        <x:v>[]</x:v>
      </x:c>
      <x:c r="L74" s="111" t="n">
        <x:v>6</x:v>
      </x:c>
      <x:c r="M74" s="111" t="str">
        <x:v>-6</x:v>
      </x:c>
      <x:c r="N74" s="111" t="str">
        <x:v>https://www.sec.gov/Archives/edgar/data/1692819/000169281926000006/vistra-20251231.htm</x:v>
      </x:c>
      <x:c r="O74" s="111" t="str">
        <x:v>10-K Note 13, long-term debt maturities, pp. 114–115</x:v>
      </x:c>
      <x:c r="P74" s="111"/>
      <x:c r="Q74" s="111"/>
      <x:c r="R74" s="96"/>
    </x:row>
    <x:row r="75" ht="52" customHeight="1">
      <x:c r="A75" s="93" t="str">
        <x:v>annual_5</x:v>
      </x:c>
      <x:c r="B75" s="121" t="n">
        <x:v>6559000000</x:v>
      </x:c>
      <x:c r="C75" s="111" t="str">
        <x:v>Thereafter</x:v>
      </x:c>
      <x:c r="D75" s="122"/>
      <x:c r="E75" s="122" t="d">
        <x:v>2025-12-31T00:00:00.000Z</x:v>
      </x:c>
      <x:c r="F75" s="111" t="str">
        <x:v>10-K</x:v>
      </x:c>
      <x:c r="G75" s="122" t="d">
        <x:v>2026-02-27T00:00:00.000Z</x:v>
      </x:c>
      <x:c r="H75" s="111" t="str">
        <x:v>0001692819-26-000006</x:v>
      </x:c>
      <x:c r="I75" s="111" t="str">
        <x:v>us-gaap:LongTermDebtMaturitiesRepaymentsOfPrincipalAfterYearFive</x:v>
      </x:c>
      <x:c r="J75" s="111" t="str">
        <x:v>c-7</x:v>
      </x:c>
      <x:c r="K75" s="111" t="str">
        <x:v>[]</x:v>
      </x:c>
      <x:c r="L75" s="111" t="n">
        <x:v>6</x:v>
      </x:c>
      <x:c r="M75" s="111" t="str">
        <x:v>-6</x:v>
      </x:c>
      <x:c r="N75" s="111" t="str">
        <x:v>https://www.sec.gov/Archives/edgar/data/1692819/000169281926000006/vistra-20251231.htm</x:v>
      </x:c>
      <x:c r="O75" s="111" t="str">
        <x:v>10-K Note 13, long-term debt maturities, pp. 114–115</x:v>
      </x:c>
      <x:c r="P75" s="111"/>
      <x:c r="Q75" s="111"/>
      <x:c r="R75" s="96"/>
    </x:row>
    <x:row r="76" ht="52" customHeight="1">
      <x:c r="A76" s="93" t="str">
        <x:v>annual_carrying</x:v>
      </x:c>
      <x:c r="B76" s="121" t="n">
        <x:v>17043000000</x:v>
      </x:c>
      <x:c r="C76" s="111" t="str">
        <x:v>Annual long-term debt carrying amount</x:v>
      </x:c>
      <x:c r="D76" s="122"/>
      <x:c r="E76" s="122" t="d">
        <x:v>2025-12-31T00:00:00.000Z</x:v>
      </x:c>
      <x:c r="F76" s="111" t="str">
        <x:v>10-K</x:v>
      </x:c>
      <x:c r="G76" s="122" t="d">
        <x:v>2026-02-27T00:00:00.000Z</x:v>
      </x:c>
      <x:c r="H76" s="111" t="str">
        <x:v>0001692819-26-000006</x:v>
      </x:c>
      <x:c r="I76" s="111" t="str">
        <x:v>us-gaap:LongTermDebtAndCapitalLeaseObligationsIncludingCurrentMaturities</x:v>
      </x:c>
      <x:c r="J76" s="111" t="str">
        <x:v>c-7</x:v>
      </x:c>
      <x:c r="K76" s="111" t="str">
        <x:v>[]</x:v>
      </x:c>
      <x:c r="L76" s="111" t="n">
        <x:v>6</x:v>
      </x:c>
      <x:c r="M76" s="111" t="str">
        <x:v>-6</x:v>
      </x:c>
      <x:c r="N76" s="111" t="str">
        <x:v>https://www.sec.gov/Archives/edgar/data/1692819/000169281926000006/vistra-20251231.htm</x:v>
      </x:c>
      <x:c r="O76" s="111" t="str">
        <x:v>10-K Note 13, pp. 114–115</x:v>
      </x:c>
      <x:c r="P76" s="111"/>
      <x:c r="Q76" s="111"/>
      <x:c r="R76" s="96"/>
    </x:row>
    <x:row r="77" ht="52" customHeight="1">
      <x:c r="A77" s="93" t="str">
        <x:v>annual_costs</x:v>
      </x:c>
      <x:c r="B77" s="121" t="n">
        <x:v>153000000</x:v>
      </x:c>
      <x:c r="C77" s="111" t="str">
        <x:v>Annual debt premiums, discounts and costs</x:v>
      </x:c>
      <x:c r="D77" s="122"/>
      <x:c r="E77" s="122" t="d">
        <x:v>2025-12-31T00:00:00.000Z</x:v>
      </x:c>
      <x:c r="F77" s="111" t="str">
        <x:v>10-K</x:v>
      </x:c>
      <x:c r="G77" s="122" t="d">
        <x:v>2026-02-27T00:00:00.000Z</x:v>
      </x:c>
      <x:c r="H77" s="111" t="str">
        <x:v>0001692819-26-000006</x:v>
      </x:c>
      <x:c r="I77" s="111" t="str">
        <x:v>us-gaap:DebtInstrumentUnamortizedDiscountPremiumAndDebtIssuanceCostsNet</x:v>
      </x:c>
      <x:c r="J77" s="111" t="str">
        <x:v>c-7</x:v>
      </x:c>
      <x:c r="K77" s="111" t="str">
        <x:v>[]</x:v>
      </x:c>
      <x:c r="L77" s="111" t="n">
        <x:v>6</x:v>
      </x:c>
      <x:c r="M77" s="111" t="str">
        <x:v>-6</x:v>
      </x:c>
      <x:c r="N77" s="111" t="str">
        <x:v>https://www.sec.gov/Archives/edgar/data/1692819/000169281926000006/vistra-20251231.htm</x:v>
      </x:c>
      <x:c r="O77" s="111" t="str">
        <x:v>10-K Note 13, pp. 114–115</x:v>
      </x:c>
      <x:c r="P77" s="111"/>
      <x:c r="Q77" s="111"/>
      <x:c r="R77" s="96"/>
    </x:row>
    <x:row r="78" ht="52" customHeight="1">
      <x:c r="A78" s="93" t="str">
        <x:v>coverage_fy_operating_income</x:v>
      </x:c>
      <x:c r="B78" s="121" t="n">
        <x:v>1906000000</x:v>
      </x:c>
      <x:c r="C78" s="111" t="str">
        <x:v>fy operating_income</x:v>
      </x:c>
      <x:c r="D78" s="122" t="d">
        <x:v>2025-01-01T00:00:00.000Z</x:v>
      </x:c>
      <x:c r="E78" s="122" t="d">
        <x:v>2025-12-31T00:00:00.000Z</x:v>
      </x:c>
      <x:c r="F78" s="111" t="str">
        <x:v>10-K</x:v>
      </x:c>
      <x:c r="G78" s="122" t="d">
        <x:v>2026-02-27T00:00:00.000Z</x:v>
      </x:c>
      <x:c r="H78" s="111" t="str">
        <x:v>0001692819-26-000006</x:v>
      </x:c>
      <x:c r="I78" s="111" t="str">
        <x:v>us-gaap:OperatingIncomeLoss</x:v>
      </x:c>
      <x:c r="J78" s="111" t="str">
        <x:v>c-1</x:v>
      </x:c>
      <x:c r="K78" s="111" t="str">
        <x:v>[]</x:v>
      </x:c>
      <x:c r="L78" s="111" t="n">
        <x:v>6</x:v>
      </x:c>
      <x:c r="M78" s="111" t="str">
        <x:v>-6</x:v>
      </x:c>
      <x:c r="N78" s="111" t="str">
        <x:v>https://www.sec.gov/Archives/edgar/data/1692819/000169281926000006/vistra-20251231.htm</x:v>
      </x:c>
      <x:c r="O78" s="111" t="str">
        <x:v>Operations p. 79</x:v>
      </x:c>
      <x:c r="P78" s="111" t="str"/>
      <x:c r="Q78" s="111" t="str">
        <x:v>42e6a0ba0c833ede7d9d452b9f1ea68fbc4cb52035129ab5d5e02916e02822d4</x:v>
      </x:c>
      <x:c r="R78" s="96" t="str">
        <x:v>iso4217:USD; Exact tag, duration, USD, Vistra CIK and no dimensions; agreeing duplicates only</x:v>
      </x:c>
    </x:row>
    <x:row r="79" ht="52" customHeight="1">
      <x:c r="A79" s="93" t="str">
        <x:v>coverage_fy_interest</x:v>
      </x:c>
      <x:c r="B79" s="121" t="n">
        <x:v>1107000000</x:v>
      </x:c>
      <x:c r="C79" s="111" t="str">
        <x:v>fy interest</x:v>
      </x:c>
      <x:c r="D79" s="122" t="d">
        <x:v>2025-01-01T00:00:00.000Z</x:v>
      </x:c>
      <x:c r="E79" s="122" t="d">
        <x:v>2025-12-31T00:00:00.000Z</x:v>
      </x:c>
      <x:c r="F79" s="111" t="str">
        <x:v>10-K</x:v>
      </x:c>
      <x:c r="G79" s="122" t="d">
        <x:v>2026-02-27T00:00:00.000Z</x:v>
      </x:c>
      <x:c r="H79" s="111" t="str">
        <x:v>0001692819-26-000006</x:v>
      </x:c>
      <x:c r="I79" s="111" t="str">
        <x:v>vistra:PostEmergenceInterestPaidAndAccrued</x:v>
      </x:c>
      <x:c r="J79" s="111" t="str">
        <x:v>c-1</x:v>
      </x:c>
      <x:c r="K79" s="111" t="str">
        <x:v>[]</x:v>
      </x:c>
      <x:c r="L79" s="111" t="n">
        <x:v>6</x:v>
      </x:c>
      <x:c r="M79" s="111" t="str">
        <x:v>-6</x:v>
      </x:c>
      <x:c r="N79" s="111" t="str">
        <x:v>https://www.sec.gov/Archives/edgar/data/1692819/000169281926000006/vistra-20251231.htm</x:v>
      </x:c>
      <x:c r="O79" s="111" t="str">
        <x:v>Interest table p. 121</x:v>
      </x:c>
      <x:c r="P79" s="111" t="str"/>
      <x:c r="Q79" s="111" t="str">
        <x:v>42e6a0ba0c833ede7d9d452b9f1ea68fbc4cb52035129ab5d5e02916e02822d4</x:v>
      </x:c>
      <x:c r="R79" s="96" t="str">
        <x:v>iso4217:USD; Exact tag, duration, USD, Vistra CIK and no dimensions; agreeing duplicates only</x:v>
      </x:c>
    </x:row>
    <x:row r="80" ht="52" customHeight="1">
      <x:c r="A80" s="93" t="str">
        <x:v>coverage_fy_swaps</x:v>
      </x:c>
      <x:c r="B80" s="121" t="n">
        <x:v>-67000000</x:v>
      </x:c>
      <x:c r="C80" s="111" t="str">
        <x:v>fy swaps</x:v>
      </x:c>
      <x:c r="D80" s="122" t="d">
        <x:v>2025-01-01T00:00:00.000Z</x:v>
      </x:c>
      <x:c r="E80" s="122" t="d">
        <x:v>2025-12-31T00:00:00.000Z</x:v>
      </x:c>
      <x:c r="F80" s="111" t="str">
        <x:v>10-K</x:v>
      </x:c>
      <x:c r="G80" s="122" t="d">
        <x:v>2026-02-27T00:00:00.000Z</x:v>
      </x:c>
      <x:c r="H80" s="111" t="str">
        <x:v>0001692819-26-000006</x:v>
      </x:c>
      <x:c r="I80" s="111" t="str">
        <x:v>vistra:UnrealizedGainLossOnInterestRateSwapDerivatives</x:v>
      </x:c>
      <x:c r="J80" s="111" t="str">
        <x:v>c-1</x:v>
      </x:c>
      <x:c r="K80" s="111" t="str">
        <x:v>[]</x:v>
      </x:c>
      <x:c r="L80" s="111" t="n">
        <x:v>6</x:v>
      </x:c>
      <x:c r="M80" s="111" t="str">
        <x:v>-6</x:v>
      </x:c>
      <x:c r="N80" s="111" t="str">
        <x:v>https://www.sec.gov/Archives/edgar/data/1692819/000169281926000006/vistra-20251231.htm</x:v>
      </x:c>
      <x:c r="O80" s="111" t="str">
        <x:v>Interest table p. 121</x:v>
      </x:c>
      <x:c r="P80" s="111" t="str"/>
      <x:c r="Q80" s="111" t="str">
        <x:v>42e6a0ba0c833ede7d9d452b9f1ea68fbc4cb52035129ab5d5e02916e02822d4</x:v>
      </x:c>
      <x:c r="R80" s="96" t="str">
        <x:v>iso4217:USD; Exact tag, duration, USD, Vistra CIK and no dimensions; agreeing duplicates only</x:v>
      </x:c>
    </x:row>
    <x:row r="81" ht="52" customHeight="1">
      <x:c r="A81" s="93" t="str">
        <x:v>coverage_fy_amortization</x:v>
      </x:c>
      <x:c r="B81" s="121" t="n">
        <x:v>46000000</x:v>
      </x:c>
      <x:c r="C81" s="111" t="str">
        <x:v>fy amortization</x:v>
      </x:c>
      <x:c r="D81" s="122" t="d">
        <x:v>2025-01-01T00:00:00.000Z</x:v>
      </x:c>
      <x:c r="E81" s="122" t="d">
        <x:v>2025-12-31T00:00:00.000Z</x:v>
      </x:c>
      <x:c r="F81" s="111" t="str">
        <x:v>10-K</x:v>
      </x:c>
      <x:c r="G81" s="122" t="d">
        <x:v>2026-02-27T00:00:00.000Z</x:v>
      </x:c>
      <x:c r="H81" s="111" t="str">
        <x:v>0001692819-26-000006</x:v>
      </x:c>
      <x:c r="I81" s="111" t="str">
        <x:v>us-gaap:AmortizationOfDebtDiscountPremium</x:v>
      </x:c>
      <x:c r="J81" s="111" t="str">
        <x:v>c-1</x:v>
      </x:c>
      <x:c r="K81" s="111" t="str">
        <x:v>[]</x:v>
      </x:c>
      <x:c r="L81" s="111" t="n">
        <x:v>6</x:v>
      </x:c>
      <x:c r="M81" s="111" t="str">
        <x:v>-6</x:v>
      </x:c>
      <x:c r="N81" s="111" t="str">
        <x:v>https://www.sec.gov/Archives/edgar/data/1692819/000169281926000006/vistra-20251231.htm</x:v>
      </x:c>
      <x:c r="O81" s="111" t="str">
        <x:v>Interest table p. 121</x:v>
      </x:c>
      <x:c r="P81" s="111" t="str"/>
      <x:c r="Q81" s="111" t="str">
        <x:v>42e6a0ba0c833ede7d9d452b9f1ea68fbc4cb52035129ab5d5e02916e02822d4</x:v>
      </x:c>
      <x:c r="R81" s="96" t="str">
        <x:v>iso4217:USD; Exact tag, duration, USD, Vistra CIK and no dimensions; agreeing duplicates only</x:v>
      </x:c>
    </x:row>
    <x:row r="82" ht="52" customHeight="1">
      <x:c r="A82" s="93" t="str">
        <x:v>coverage_fy_extinguishment</x:v>
      </x:c>
      <x:c r="B82" s="121" t="n">
        <x:v>0</x:v>
      </x:c>
      <x:c r="C82" s="111" t="str">
        <x:v>fy extinguishment</x:v>
      </x:c>
      <x:c r="D82" s="122" t="d">
        <x:v>2025-01-01T00:00:00.000Z</x:v>
      </x:c>
      <x:c r="E82" s="122" t="d">
        <x:v>2025-12-31T00:00:00.000Z</x:v>
      </x:c>
      <x:c r="F82" s="111" t="str">
        <x:v>10-K</x:v>
      </x:c>
      <x:c r="G82" s="122" t="d">
        <x:v>2026-02-27T00:00:00.000Z</x:v>
      </x:c>
      <x:c r="H82" s="111" t="str">
        <x:v>0001692819-26-000006</x:v>
      </x:c>
      <x:c r="I82" s="111" t="str">
        <x:v>us-gaap:GainsLossesOnExtinguishmentOfDebt</x:v>
      </x:c>
      <x:c r="J82" s="111" t="str">
        <x:v>c-1</x:v>
      </x:c>
      <x:c r="K82" s="111" t="str">
        <x:v>[]</x:v>
      </x:c>
      <x:c r="L82" s="111" t="n">
        <x:v>6</x:v>
      </x:c>
      <x:c r="M82" s="111" t="str">
        <x:v>-6</x:v>
      </x:c>
      <x:c r="N82" s="111" t="str">
        <x:v>https://www.sec.gov/Archives/edgar/data/1692819/000169281926000006/vistra-20251231.htm</x:v>
      </x:c>
      <x:c r="O82" s="111" t="str">
        <x:v>Interest table p. 121</x:v>
      </x:c>
      <x:c r="P82" s="111" t="str"/>
      <x:c r="Q82" s="111" t="str">
        <x:v>42e6a0ba0c833ede7d9d452b9f1ea68fbc4cb52035129ab5d5e02916e02822d4</x:v>
      </x:c>
      <x:c r="R82" s="96" t="str">
        <x:v>iso4217:USD; Exact tag, duration, USD, Vistra CIK and no dimensions; agreeing duplicates only</x:v>
      </x:c>
    </x:row>
    <x:row r="83" ht="52" customHeight="1">
      <x:c r="A83" s="93" t="str">
        <x:v>coverage_fy_capitalized</x:v>
      </x:c>
      <x:c r="B83" s="121" t="n">
        <x:v>125000000</x:v>
      </x:c>
      <x:c r="C83" s="111" t="str">
        <x:v>fy capitalized</x:v>
      </x:c>
      <x:c r="D83" s="122" t="d">
        <x:v>2025-01-01T00:00:00.000Z</x:v>
      </x:c>
      <x:c r="E83" s="122" t="d">
        <x:v>2025-12-31T00:00:00.000Z</x:v>
      </x:c>
      <x:c r="F83" s="111" t="str">
        <x:v>10-K</x:v>
      </x:c>
      <x:c r="G83" s="122" t="d">
        <x:v>2026-02-27T00:00:00.000Z</x:v>
      </x:c>
      <x:c r="H83" s="111" t="str">
        <x:v>0001692819-26-000006</x:v>
      </x:c>
      <x:c r="I83" s="111" t="str">
        <x:v>us-gaap:InterestCostsCapitalizedAdjustment</x:v>
      </x:c>
      <x:c r="J83" s="111" t="str">
        <x:v>c-1</x:v>
      </x:c>
      <x:c r="K83" s="111" t="str">
        <x:v>[]</x:v>
      </x:c>
      <x:c r="L83" s="111" t="n">
        <x:v>6</x:v>
      </x:c>
      <x:c r="M83" s="111" t="str">
        <x:v>-6</x:v>
      </x:c>
      <x:c r="N83" s="111" t="str">
        <x:v>https://www.sec.gov/Archives/edgar/data/1692819/000169281926000006/vistra-20251231.htm</x:v>
      </x:c>
      <x:c r="O83" s="111" t="str">
        <x:v>Interest table p. 121</x:v>
      </x:c>
      <x:c r="P83" s="111" t="str"/>
      <x:c r="Q83" s="111" t="str">
        <x:v>42e6a0ba0c833ede7d9d452b9f1ea68fbc4cb52035129ab5d5e02916e02822d4</x:v>
      </x:c>
      <x:c r="R83" s="96" t="str">
        <x:v>iso4217:USD; Exact tag, duration, USD, Vistra CIK and no dimensions; agreeing duplicates only</x:v>
      </x:c>
    </x:row>
    <x:row r="84" ht="52" customHeight="1">
      <x:c r="A84" s="93" t="str">
        <x:v>coverage_fy_other</x:v>
      </x:c>
      <x:c r="B84" s="121" t="n">
        <x:v>84000000</x:v>
      </x:c>
      <x:c r="C84" s="111" t="str">
        <x:v>fy other</x:v>
      </x:c>
      <x:c r="D84" s="122" t="d">
        <x:v>2025-01-01T00:00:00.000Z</x:v>
      </x:c>
      <x:c r="E84" s="122" t="d">
        <x:v>2025-12-31T00:00:00.000Z</x:v>
      </x:c>
      <x:c r="F84" s="111" t="str">
        <x:v>10-K</x:v>
      </x:c>
      <x:c r="G84" s="122" t="d">
        <x:v>2026-02-27T00:00:00.000Z</x:v>
      </x:c>
      <x:c r="H84" s="111" t="str">
        <x:v>0001692819-26-000006</x:v>
      </x:c>
      <x:c r="I84" s="111" t="str">
        <x:v>us-gaap:InterestExpenseOther</x:v>
      </x:c>
      <x:c r="J84" s="111" t="str">
        <x:v>c-1</x:v>
      </x:c>
      <x:c r="K84" s="111" t="str">
        <x:v>[]</x:v>
      </x:c>
      <x:c r="L84" s="111" t="n">
        <x:v>6</x:v>
      </x:c>
      <x:c r="M84" s="111" t="str">
        <x:v>-6</x:v>
      </x:c>
      <x:c r="N84" s="111" t="str">
        <x:v>https://www.sec.gov/Archives/edgar/data/1692819/000169281926000006/vistra-20251231.htm</x:v>
      </x:c>
      <x:c r="O84" s="111" t="str">
        <x:v>Interest table p. 121</x:v>
      </x:c>
      <x:c r="P84" s="111" t="str"/>
      <x:c r="Q84" s="111" t="str">
        <x:v>42e6a0ba0c833ede7d9d452b9f1ea68fbc4cb52035129ab5d5e02916e02822d4</x:v>
      </x:c>
      <x:c r="R84" s="96" t="str">
        <x:v>iso4217:USD; Exact tag, duration, USD, Vistra CIK and no dimensions; agreeing duplicates only</x:v>
      </x:c>
    </x:row>
    <x:row r="85" ht="52" customHeight="1">
      <x:c r="A85" s="93" t="str">
        <x:v>coverage_fy_total</x:v>
      </x:c>
      <x:c r="B85" s="121" t="n">
        <x:v>1179000000</x:v>
      </x:c>
      <x:c r="C85" s="111" t="str">
        <x:v>fy total</x:v>
      </x:c>
      <x:c r="D85" s="122" t="d">
        <x:v>2025-01-01T00:00:00.000Z</x:v>
      </x:c>
      <x:c r="E85" s="122" t="d">
        <x:v>2025-12-31T00:00:00.000Z</x:v>
      </x:c>
      <x:c r="F85" s="111" t="str">
        <x:v>10-K</x:v>
      </x:c>
      <x:c r="G85" s="122" t="d">
        <x:v>2026-02-27T00:00:00.000Z</x:v>
      </x:c>
      <x:c r="H85" s="111" t="str">
        <x:v>0001692819-26-000006</x:v>
      </x:c>
      <x:c r="I85" s="111" t="str">
        <x:v>us-gaap:InterestExpenseNonoperating</x:v>
      </x:c>
      <x:c r="J85" s="111" t="str">
        <x:v>c-1</x:v>
      </x:c>
      <x:c r="K85" s="111" t="str">
        <x:v>[]</x:v>
      </x:c>
      <x:c r="L85" s="111" t="n">
        <x:v>6</x:v>
      </x:c>
      <x:c r="M85" s="111" t="str">
        <x:v>-6</x:v>
      </x:c>
      <x:c r="N85" s="111" t="str">
        <x:v>https://www.sec.gov/Archives/edgar/data/1692819/000169281926000006/vistra-20251231.htm</x:v>
      </x:c>
      <x:c r="O85" s="111" t="str">
        <x:v>Interest table p. 121</x:v>
      </x:c>
      <x:c r="P85" s="111" t="str"/>
      <x:c r="Q85" s="111" t="str">
        <x:v>42e6a0ba0c833ede7d9d452b9f1ea68fbc4cb52035129ab5d5e02916e02822d4</x:v>
      </x:c>
      <x:c r="R85" s="96" t="str">
        <x:v>iso4217:USD; Exact tag, duration, USD, Vistra CIK and no dimensions; agreeing duplicates only</x:v>
      </x:c>
    </x:row>
    <x:row r="86" ht="52" customHeight="1">
      <x:c r="A86" s="93" t="str">
        <x:v>coverage_current_operating_income</x:v>
      </x:c>
      <x:c r="B86" s="121" t="n">
        <x:v>2052000000</x:v>
      </x:c>
      <x:c r="C86" s="111" t="str">
        <x:v>current operating_income</x:v>
      </x:c>
      <x:c r="D86" s="122" t="d">
        <x:v>2026-01-01T00:00:00.000Z</x:v>
      </x:c>
      <x:c r="E86" s="122" t="d">
        <x:v>2026-06-30T00:00:00.000Z</x:v>
      </x:c>
      <x:c r="F86" s="111" t="str">
        <x:v>10-Q</x:v>
      </x:c>
      <x:c r="G86" s="122" t="d">
        <x:v>2026-08-10T00:00:00.000Z</x:v>
      </x:c>
      <x:c r="H86" s="111" t="str">
        <x:v>0001692819-26-000019</x:v>
      </x:c>
      <x:c r="I86" s="111" t="str">
        <x:v>us-gaap:OperatingIncomeLoss</x:v>
      </x:c>
      <x:c r="J86" s="111" t="str">
        <x:v>c-1</x:v>
      </x:c>
      <x:c r="K86" s="111" t="str">
        <x:v>[]</x:v>
      </x:c>
      <x:c r="L86" s="111" t="n">
        <x:v>6</x:v>
      </x:c>
      <x:c r="M86" s="111" t="str">
        <x:v>-6</x:v>
      </x:c>
      <x:c r="N86" s="111" t="str">
        <x:v>https://www.sec.gov/Archives/edgar/data/1692819/000169281926000019/vistra-20260630.htm</x:v>
      </x:c>
      <x:c r="O86" s="111" t="str">
        <x:v>Operations p. 1</x:v>
      </x:c>
      <x:c r="P86" s="111" t="str"/>
      <x:c r="Q86" s="111" t="str">
        <x:v>c6d9f5b5d8348c2060282019841c8bec09662fefd3b78f6fefd3add3ed985875</x:v>
      </x:c>
      <x:c r="R86" s="96" t="str">
        <x:v>iso4217:USD; Exact tag, duration, USD, Vistra CIK and no dimensions; agreeing duplicates only</x:v>
      </x:c>
    </x:row>
    <x:row r="87" ht="52" customHeight="1">
      <x:c r="A87" s="93" t="str">
        <x:v>coverage_current_interest</x:v>
      </x:c>
      <x:c r="B87" s="121" t="n">
        <x:v>557000000</x:v>
      </x:c>
      <x:c r="C87" s="111" t="str">
        <x:v>current interest</x:v>
      </x:c>
      <x:c r="D87" s="122" t="d">
        <x:v>2026-01-01T00:00:00.000Z</x:v>
      </x:c>
      <x:c r="E87" s="122" t="d">
        <x:v>2026-06-30T00:00:00.000Z</x:v>
      </x:c>
      <x:c r="F87" s="111" t="str">
        <x:v>10-Q</x:v>
      </x:c>
      <x:c r="G87" s="122" t="d">
        <x:v>2026-08-10T00:00:00.000Z</x:v>
      </x:c>
      <x:c r="H87" s="111" t="str">
        <x:v>0001692819-26-000019</x:v>
      </x:c>
      <x:c r="I87" s="111" t="str">
        <x:v>vistra:PostEmergenceInterestPaidAndAccrued</x:v>
      </x:c>
      <x:c r="J87" s="111" t="str">
        <x:v>c-1</x:v>
      </x:c>
      <x:c r="K87" s="111" t="str">
        <x:v>[]</x:v>
      </x:c>
      <x:c r="L87" s="111" t="n">
        <x:v>6</x:v>
      </x:c>
      <x:c r="M87" s="111" t="str">
        <x:v>-6</x:v>
      </x:c>
      <x:c r="N87" s="111" t="str">
        <x:v>https://www.sec.gov/Archives/edgar/data/1692819/000169281926000019/vistra-20260630.htm</x:v>
      </x:c>
      <x:c r="O87" s="111" t="str">
        <x:v>Debt Note 12 p. 28</x:v>
      </x:c>
      <x:c r="P87" s="111" t="str"/>
      <x:c r="Q87" s="111" t="str">
        <x:v>c6d9f5b5d8348c2060282019841c8bec09662fefd3b78f6fefd3add3ed985875</x:v>
      </x:c>
      <x:c r="R87" s="96" t="str">
        <x:v>iso4217:USD; Exact tag, duration, USD, Vistra CIK and no dimensions; agreeing duplicates only</x:v>
      </x:c>
    </x:row>
    <x:row r="88" ht="52" customHeight="1">
      <x:c r="A88" s="93" t="str">
        <x:v>coverage_current_swaps</x:v>
      </x:c>
      <x:c r="B88" s="121" t="n">
        <x:v>7000000</x:v>
      </x:c>
      <x:c r="C88" s="111" t="str">
        <x:v>current swaps</x:v>
      </x:c>
      <x:c r="D88" s="122" t="d">
        <x:v>2026-01-01T00:00:00.000Z</x:v>
      </x:c>
      <x:c r="E88" s="122" t="d">
        <x:v>2026-06-30T00:00:00.000Z</x:v>
      </x:c>
      <x:c r="F88" s="111" t="str">
        <x:v>10-Q</x:v>
      </x:c>
      <x:c r="G88" s="122" t="d">
        <x:v>2026-08-10T00:00:00.000Z</x:v>
      </x:c>
      <x:c r="H88" s="111" t="str">
        <x:v>0001692819-26-000019</x:v>
      </x:c>
      <x:c r="I88" s="111" t="str">
        <x:v>vistra:UnrealizedGainLossOnInterestRateSwapDerivatives</x:v>
      </x:c>
      <x:c r="J88" s="111" t="str">
        <x:v>c-1</x:v>
      </x:c>
      <x:c r="K88" s="111" t="str">
        <x:v>[]</x:v>
      </x:c>
      <x:c r="L88" s="111" t="n">
        <x:v>6</x:v>
      </x:c>
      <x:c r="M88" s="111" t="str">
        <x:v>-6</x:v>
      </x:c>
      <x:c r="N88" s="111" t="str">
        <x:v>https://www.sec.gov/Archives/edgar/data/1692819/000169281926000019/vistra-20260630.htm</x:v>
      </x:c>
      <x:c r="O88" s="111" t="str">
        <x:v>Debt Note 12 p. 28</x:v>
      </x:c>
      <x:c r="P88" s="111" t="str"/>
      <x:c r="Q88" s="111" t="str">
        <x:v>c6d9f5b5d8348c2060282019841c8bec09662fefd3b78f6fefd3add3ed985875</x:v>
      </x:c>
      <x:c r="R88" s="96" t="str">
        <x:v>iso4217:USD; Exact tag, duration, USD, Vistra CIK and no dimensions; agreeing duplicates only</x:v>
      </x:c>
    </x:row>
    <x:row r="89" ht="52" customHeight="1">
      <x:c r="A89" s="93" t="str">
        <x:v>coverage_current_amortization</x:v>
      </x:c>
      <x:c r="B89" s="121" t="n">
        <x:v>21000000</x:v>
      </x:c>
      <x:c r="C89" s="111" t="str">
        <x:v>current amortization</x:v>
      </x:c>
      <x:c r="D89" s="122" t="d">
        <x:v>2026-01-01T00:00:00.000Z</x:v>
      </x:c>
      <x:c r="E89" s="122" t="d">
        <x:v>2026-06-30T00:00:00.000Z</x:v>
      </x:c>
      <x:c r="F89" s="111" t="str">
        <x:v>10-Q</x:v>
      </x:c>
      <x:c r="G89" s="122" t="d">
        <x:v>2026-08-10T00:00:00.000Z</x:v>
      </x:c>
      <x:c r="H89" s="111" t="str">
        <x:v>0001692819-26-000019</x:v>
      </x:c>
      <x:c r="I89" s="111" t="str">
        <x:v>us-gaap:AmortizationOfDebtDiscountPremium</x:v>
      </x:c>
      <x:c r="J89" s="111" t="str">
        <x:v>c-1</x:v>
      </x:c>
      <x:c r="K89" s="111" t="str">
        <x:v>[]</x:v>
      </x:c>
      <x:c r="L89" s="111" t="n">
        <x:v>6</x:v>
      </x:c>
      <x:c r="M89" s="111" t="str">
        <x:v>-6</x:v>
      </x:c>
      <x:c r="N89" s="111" t="str">
        <x:v>https://www.sec.gov/Archives/edgar/data/1692819/000169281926000019/vistra-20260630.htm</x:v>
      </x:c>
      <x:c r="O89" s="111" t="str">
        <x:v>Debt Note 12 p. 28</x:v>
      </x:c>
      <x:c r="P89" s="111" t="str"/>
      <x:c r="Q89" s="111" t="str">
        <x:v>c6d9f5b5d8348c2060282019841c8bec09662fefd3b78f6fefd3add3ed985875</x:v>
      </x:c>
      <x:c r="R89" s="96" t="str">
        <x:v>iso4217:USD; Exact tag, duration, USD, Vistra CIK and no dimensions; agreeing duplicates only</x:v>
      </x:c>
    </x:row>
    <x:row r="90" ht="52" customHeight="1">
      <x:c r="A90" s="93" t="str">
        <x:v>coverage_current_extinguishment</x:v>
      </x:c>
      <x:c r="B90" s="121" t="n">
        <x:v>-35000000</x:v>
      </x:c>
      <x:c r="C90" s="111" t="str">
        <x:v>current extinguishment</x:v>
      </x:c>
      <x:c r="D90" s="122" t="d">
        <x:v>2026-01-01T00:00:00.000Z</x:v>
      </x:c>
      <x:c r="E90" s="122" t="d">
        <x:v>2026-06-30T00:00:00.000Z</x:v>
      </x:c>
      <x:c r="F90" s="111" t="str">
        <x:v>10-Q</x:v>
      </x:c>
      <x:c r="G90" s="122" t="d">
        <x:v>2026-08-10T00:00:00.000Z</x:v>
      </x:c>
      <x:c r="H90" s="111" t="str">
        <x:v>0001692819-26-000019</x:v>
      </x:c>
      <x:c r="I90" s="111" t="str">
        <x:v>us-gaap:GainsLossesOnExtinguishmentOfDebt</x:v>
      </x:c>
      <x:c r="J90" s="111" t="str">
        <x:v>c-1</x:v>
      </x:c>
      <x:c r="K90" s="111" t="str">
        <x:v>[]</x:v>
      </x:c>
      <x:c r="L90" s="111" t="n">
        <x:v>6</x:v>
      </x:c>
      <x:c r="M90" s="111" t="str">
        <x:v>-6</x:v>
      </x:c>
      <x:c r="N90" s="111" t="str">
        <x:v>https://www.sec.gov/Archives/edgar/data/1692819/000169281926000019/vistra-20260630.htm</x:v>
      </x:c>
      <x:c r="O90" s="111" t="str">
        <x:v>Debt Note 12 p. 28</x:v>
      </x:c>
      <x:c r="P90" s="111" t="str"/>
      <x:c r="Q90" s="111" t="str">
        <x:v>c6d9f5b5d8348c2060282019841c8bec09662fefd3b78f6fefd3add3ed985875</x:v>
      </x:c>
      <x:c r="R90" s="96" t="str">
        <x:v>iso4217:USD; Exact tag, duration, USD, Vistra CIK and no dimensions; agreeing duplicates only</x:v>
      </x:c>
    </x:row>
    <x:row r="91" ht="52" customHeight="1">
      <x:c r="A91" s="93" t="str">
        <x:v>coverage_current_capitalized</x:v>
      </x:c>
      <x:c r="B91" s="121" t="n">
        <x:v>82000000</x:v>
      </x:c>
      <x:c r="C91" s="111" t="str">
        <x:v>current capitalized</x:v>
      </x:c>
      <x:c r="D91" s="122" t="d">
        <x:v>2026-01-01T00:00:00.000Z</x:v>
      </x:c>
      <x:c r="E91" s="122" t="d">
        <x:v>2026-06-30T00:00:00.000Z</x:v>
      </x:c>
      <x:c r="F91" s="111" t="str">
        <x:v>10-Q</x:v>
      </x:c>
      <x:c r="G91" s="122" t="d">
        <x:v>2026-08-10T00:00:00.000Z</x:v>
      </x:c>
      <x:c r="H91" s="111" t="str">
        <x:v>0001692819-26-000019</x:v>
      </x:c>
      <x:c r="I91" s="111" t="str">
        <x:v>us-gaap:InterestCostsCapitalizedAdjustment</x:v>
      </x:c>
      <x:c r="J91" s="111" t="str">
        <x:v>c-1</x:v>
      </x:c>
      <x:c r="K91" s="111" t="str">
        <x:v>[]</x:v>
      </x:c>
      <x:c r="L91" s="111" t="n">
        <x:v>6</x:v>
      </x:c>
      <x:c r="M91" s="111" t="str">
        <x:v>-6</x:v>
      </x:c>
      <x:c r="N91" s="111" t="str">
        <x:v>https://www.sec.gov/Archives/edgar/data/1692819/000169281926000019/vistra-20260630.htm</x:v>
      </x:c>
      <x:c r="O91" s="111" t="str">
        <x:v>Debt Note 12 p. 28</x:v>
      </x:c>
      <x:c r="P91" s="111" t="str"/>
      <x:c r="Q91" s="111" t="str">
        <x:v>c6d9f5b5d8348c2060282019841c8bec09662fefd3b78f6fefd3add3ed985875</x:v>
      </x:c>
      <x:c r="R91" s="96" t="str">
        <x:v>iso4217:USD; Exact tag, duration, USD, Vistra CIK and no dimensions; agreeing duplicates only</x:v>
      </x:c>
    </x:row>
    <x:row r="92" ht="52" customHeight="1">
      <x:c r="A92" s="93" t="str">
        <x:v>coverage_current_other</x:v>
      </x:c>
      <x:c r="B92" s="121" t="n">
        <x:v>51000000</x:v>
      </x:c>
      <x:c r="C92" s="111" t="str">
        <x:v>current other</x:v>
      </x:c>
      <x:c r="D92" s="122" t="d">
        <x:v>2026-01-01T00:00:00.000Z</x:v>
      </x:c>
      <x:c r="E92" s="122" t="d">
        <x:v>2026-06-30T00:00:00.000Z</x:v>
      </x:c>
      <x:c r="F92" s="111" t="str">
        <x:v>10-Q</x:v>
      </x:c>
      <x:c r="G92" s="122" t="d">
        <x:v>2026-08-10T00:00:00.000Z</x:v>
      </x:c>
      <x:c r="H92" s="111" t="str">
        <x:v>0001692819-26-000019</x:v>
      </x:c>
      <x:c r="I92" s="111" t="str">
        <x:v>us-gaap:InterestExpenseOther</x:v>
      </x:c>
      <x:c r="J92" s="111" t="str">
        <x:v>c-1</x:v>
      </x:c>
      <x:c r="K92" s="111" t="str">
        <x:v>[]</x:v>
      </x:c>
      <x:c r="L92" s="111" t="n">
        <x:v>6</x:v>
      </x:c>
      <x:c r="M92" s="111" t="str">
        <x:v>-6</x:v>
      </x:c>
      <x:c r="N92" s="111" t="str">
        <x:v>https://www.sec.gov/Archives/edgar/data/1692819/000169281926000019/vistra-20260630.htm</x:v>
      </x:c>
      <x:c r="O92" s="111" t="str">
        <x:v>Debt Note 12 p. 28</x:v>
      </x:c>
      <x:c r="P92" s="111" t="str"/>
      <x:c r="Q92" s="111" t="str">
        <x:v>c6d9f5b5d8348c2060282019841c8bec09662fefd3b78f6fefd3add3ed985875</x:v>
      </x:c>
      <x:c r="R92" s="96" t="str">
        <x:v>iso4217:USD; Exact tag, duration, USD, Vistra CIK and no dimensions; agreeing duplicates only</x:v>
      </x:c>
    </x:row>
    <x:row r="93" ht="52" customHeight="1">
      <x:c r="A93" s="93" t="str">
        <x:v>coverage_current_total</x:v>
      </x:c>
      <x:c r="B93" s="121" t="n">
        <x:v>575000000</x:v>
      </x:c>
      <x:c r="C93" s="111" t="str">
        <x:v>current total</x:v>
      </x:c>
      <x:c r="D93" s="122" t="d">
        <x:v>2026-01-01T00:00:00.000Z</x:v>
      </x:c>
      <x:c r="E93" s="122" t="d">
        <x:v>2026-06-30T00:00:00.000Z</x:v>
      </x:c>
      <x:c r="F93" s="111" t="str">
        <x:v>10-Q</x:v>
      </x:c>
      <x:c r="G93" s="122" t="d">
        <x:v>2026-08-10T00:00:00.000Z</x:v>
      </x:c>
      <x:c r="H93" s="111" t="str">
        <x:v>0001692819-26-000019</x:v>
      </x:c>
      <x:c r="I93" s="111" t="str">
        <x:v>us-gaap:InterestExpenseNonoperating</x:v>
      </x:c>
      <x:c r="J93" s="111" t="str">
        <x:v>c-1</x:v>
      </x:c>
      <x:c r="K93" s="111" t="str">
        <x:v>[]</x:v>
      </x:c>
      <x:c r="L93" s="111" t="n">
        <x:v>6</x:v>
      </x:c>
      <x:c r="M93" s="111" t="str">
        <x:v>-6</x:v>
      </x:c>
      <x:c r="N93" s="111" t="str">
        <x:v>https://www.sec.gov/Archives/edgar/data/1692819/000169281926000019/vistra-20260630.htm</x:v>
      </x:c>
      <x:c r="O93" s="111" t="str">
        <x:v>Debt Note 12 p. 28</x:v>
      </x:c>
      <x:c r="P93" s="111" t="str"/>
      <x:c r="Q93" s="111" t="str">
        <x:v>c6d9f5b5d8348c2060282019841c8bec09662fefd3b78f6fefd3add3ed985875</x:v>
      </x:c>
      <x:c r="R93" s="96" t="str">
        <x:v>iso4217:USD; Exact tag, duration, USD, Vistra CIK and no dimensions; agreeing duplicates only</x:v>
      </x:c>
    </x:row>
    <x:row r="94" ht="52" customHeight="1">
      <x:c r="A94" s="93" t="str">
        <x:v>coverage_prior_operating_income</x:v>
      </x:c>
      <x:c r="B94" s="121" t="n">
        <x:v>395000000</x:v>
      </x:c>
      <x:c r="C94" s="111" t="str">
        <x:v>prior operating_income</x:v>
      </x:c>
      <x:c r="D94" s="122" t="d">
        <x:v>2025-01-01T00:00:00.000Z</x:v>
      </x:c>
      <x:c r="E94" s="122" t="d">
        <x:v>2025-06-30T00:00:00.000Z</x:v>
      </x:c>
      <x:c r="F94" s="111" t="str">
        <x:v>10-Q</x:v>
      </x:c>
      <x:c r="G94" s="122" t="d">
        <x:v>2026-08-10T00:00:00.000Z</x:v>
      </x:c>
      <x:c r="H94" s="111" t="str">
        <x:v>0001692819-26-000019</x:v>
      </x:c>
      <x:c r="I94" s="111" t="str">
        <x:v>us-gaap:OperatingIncomeLoss</x:v>
      </x:c>
      <x:c r="J94" s="111" t="str">
        <x:v>c-7</x:v>
      </x:c>
      <x:c r="K94" s="111" t="str">
        <x:v>[]</x:v>
      </x:c>
      <x:c r="L94" s="111" t="n">
        <x:v>6</x:v>
      </x:c>
      <x:c r="M94" s="111" t="str">
        <x:v>-6</x:v>
      </x:c>
      <x:c r="N94" s="111" t="str">
        <x:v>https://www.sec.gov/Archives/edgar/data/1692819/000169281926000019/vistra-20260630.htm</x:v>
      </x:c>
      <x:c r="O94" s="111" t="str">
        <x:v>Operations p. 1</x:v>
      </x:c>
      <x:c r="P94" s="111" t="str"/>
      <x:c r="Q94" s="111" t="str">
        <x:v>c6d9f5b5d8348c2060282019841c8bec09662fefd3b78f6fefd3add3ed985875</x:v>
      </x:c>
      <x:c r="R94" s="96" t="str">
        <x:v>iso4217:USD; Exact tag, duration, USD, Vistra CIK and no dimensions; agreeing duplicates only</x:v>
      </x:c>
    </x:row>
    <x:row r="95" ht="52" customHeight="1">
      <x:c r="A95" s="93" t="str">
        <x:v>coverage_prior_interest</x:v>
      </x:c>
      <x:c r="B95" s="121" t="n">
        <x:v>547000000</x:v>
      </x:c>
      <x:c r="C95" s="111" t="str">
        <x:v>prior interest</x:v>
      </x:c>
      <x:c r="D95" s="122" t="d">
        <x:v>2025-01-01T00:00:00.000Z</x:v>
      </x:c>
      <x:c r="E95" s="122" t="d">
        <x:v>2025-06-30T00:00:00.000Z</x:v>
      </x:c>
      <x:c r="F95" s="111" t="str">
        <x:v>10-Q</x:v>
      </x:c>
      <x:c r="G95" s="122" t="d">
        <x:v>2026-08-10T00:00:00.000Z</x:v>
      </x:c>
      <x:c r="H95" s="111" t="str">
        <x:v>0001692819-26-000019</x:v>
      </x:c>
      <x:c r="I95" s="111" t="str">
        <x:v>vistra:PostEmergenceInterestPaidAndAccrued</x:v>
      </x:c>
      <x:c r="J95" s="111" t="str">
        <x:v>c-7</x:v>
      </x:c>
      <x:c r="K95" s="111" t="str">
        <x:v>[]</x:v>
      </x:c>
      <x:c r="L95" s="111" t="n">
        <x:v>6</x:v>
      </x:c>
      <x:c r="M95" s="111" t="str">
        <x:v>-6</x:v>
      </x:c>
      <x:c r="N95" s="111" t="str">
        <x:v>https://www.sec.gov/Archives/edgar/data/1692819/000169281926000019/vistra-20260630.htm</x:v>
      </x:c>
      <x:c r="O95" s="111" t="str">
        <x:v>Debt Note 12 p. 28</x:v>
      </x:c>
      <x:c r="P95" s="111" t="str"/>
      <x:c r="Q95" s="111" t="str">
        <x:v>c6d9f5b5d8348c2060282019841c8bec09662fefd3b78f6fefd3add3ed985875</x:v>
      </x:c>
      <x:c r="R95" s="96" t="str">
        <x:v>iso4217:USD; Exact tag, duration, USD, Vistra CIK and no dimensions; agreeing duplicates only</x:v>
      </x:c>
    </x:row>
    <x:row r="96" ht="52" customHeight="1">
      <x:c r="A96" s="93" t="str">
        <x:v>coverage_prior_swaps</x:v>
      </x:c>
      <x:c r="B96" s="121" t="n">
        <x:v>-74000000</x:v>
      </x:c>
      <x:c r="C96" s="111" t="str">
        <x:v>prior swaps</x:v>
      </x:c>
      <x:c r="D96" s="122" t="d">
        <x:v>2025-01-01T00:00:00.000Z</x:v>
      </x:c>
      <x:c r="E96" s="122" t="d">
        <x:v>2025-06-30T00:00:00.000Z</x:v>
      </x:c>
      <x:c r="F96" s="111" t="str">
        <x:v>10-Q</x:v>
      </x:c>
      <x:c r="G96" s="122" t="d">
        <x:v>2026-08-10T00:00:00.000Z</x:v>
      </x:c>
      <x:c r="H96" s="111" t="str">
        <x:v>0001692819-26-000019</x:v>
      </x:c>
      <x:c r="I96" s="111" t="str">
        <x:v>vistra:UnrealizedGainLossOnInterestRateSwapDerivatives</x:v>
      </x:c>
      <x:c r="J96" s="111" t="str">
        <x:v>c-7</x:v>
      </x:c>
      <x:c r="K96" s="111" t="str">
        <x:v>[]</x:v>
      </x:c>
      <x:c r="L96" s="111" t="n">
        <x:v>6</x:v>
      </x:c>
      <x:c r="M96" s="111" t="str">
        <x:v>-6</x:v>
      </x:c>
      <x:c r="N96" s="111" t="str">
        <x:v>https://www.sec.gov/Archives/edgar/data/1692819/000169281926000019/vistra-20260630.htm</x:v>
      </x:c>
      <x:c r="O96" s="111" t="str">
        <x:v>Debt Note 12 p. 28</x:v>
      </x:c>
      <x:c r="P96" s="111" t="str"/>
      <x:c r="Q96" s="111" t="str">
        <x:v>c6d9f5b5d8348c2060282019841c8bec09662fefd3b78f6fefd3add3ed985875</x:v>
      </x:c>
      <x:c r="R96" s="96" t="str">
        <x:v>iso4217:USD; Exact tag, duration, USD, Vistra CIK and no dimensions; agreeing duplicates only</x:v>
      </x:c>
    </x:row>
    <x:row r="97" ht="52" customHeight="1">
      <x:c r="A97" s="93" t="str">
        <x:v>coverage_prior_amortization</x:v>
      </x:c>
      <x:c r="B97" s="121" t="n">
        <x:v>22000000</x:v>
      </x:c>
      <x:c r="C97" s="111" t="str">
        <x:v>prior amortization</x:v>
      </x:c>
      <x:c r="D97" s="122" t="d">
        <x:v>2025-01-01T00:00:00.000Z</x:v>
      </x:c>
      <x:c r="E97" s="122" t="d">
        <x:v>2025-06-30T00:00:00.000Z</x:v>
      </x:c>
      <x:c r="F97" s="111" t="str">
        <x:v>10-Q</x:v>
      </x:c>
      <x:c r="G97" s="122" t="d">
        <x:v>2026-08-10T00:00:00.000Z</x:v>
      </x:c>
      <x:c r="H97" s="111" t="str">
        <x:v>0001692819-26-000019</x:v>
      </x:c>
      <x:c r="I97" s="111" t="str">
        <x:v>us-gaap:AmortizationOfDebtDiscountPremium</x:v>
      </x:c>
      <x:c r="J97" s="111" t="str">
        <x:v>c-7</x:v>
      </x:c>
      <x:c r="K97" s="111" t="str">
        <x:v>[]</x:v>
      </x:c>
      <x:c r="L97" s="111" t="n">
        <x:v>6</x:v>
      </x:c>
      <x:c r="M97" s="111" t="str">
        <x:v>-6</x:v>
      </x:c>
      <x:c r="N97" s="111" t="str">
        <x:v>https://www.sec.gov/Archives/edgar/data/1692819/000169281926000019/vistra-20260630.htm</x:v>
      </x:c>
      <x:c r="O97" s="111" t="str">
        <x:v>Debt Note 12 p. 28</x:v>
      </x:c>
      <x:c r="P97" s="111" t="str"/>
      <x:c r="Q97" s="111" t="str">
        <x:v>c6d9f5b5d8348c2060282019841c8bec09662fefd3b78f6fefd3add3ed985875</x:v>
      </x:c>
      <x:c r="R97" s="96" t="str">
        <x:v>iso4217:USD; Exact tag, duration, USD, Vistra CIK and no dimensions; agreeing duplicates only</x:v>
      </x:c>
    </x:row>
    <x:row r="98" ht="52" customHeight="1">
      <x:c r="A98" s="93" t="str">
        <x:v>coverage_prior_extinguishment</x:v>
      </x:c>
      <x:c r="B98" s="121" t="n">
        <x:v>0</x:v>
      </x:c>
      <x:c r="C98" s="111" t="str">
        <x:v>prior extinguishment</x:v>
      </x:c>
      <x:c r="D98" s="122" t="d">
        <x:v>2025-01-01T00:00:00.000Z</x:v>
      </x:c>
      <x:c r="E98" s="122" t="d">
        <x:v>2025-06-30T00:00:00.000Z</x:v>
      </x:c>
      <x:c r="F98" s="111" t="str">
        <x:v>10-Q</x:v>
      </x:c>
      <x:c r="G98" s="122" t="d">
        <x:v>2026-08-10T00:00:00.000Z</x:v>
      </x:c>
      <x:c r="H98" s="111" t="str">
        <x:v>0001692819-26-000019</x:v>
      </x:c>
      <x:c r="I98" s="111" t="str">
        <x:v>us-gaap:GainsLossesOnExtinguishmentOfDebt</x:v>
      </x:c>
      <x:c r="J98" s="111" t="str">
        <x:v>c-7</x:v>
      </x:c>
      <x:c r="K98" s="111" t="str">
        <x:v>[]</x:v>
      </x:c>
      <x:c r="L98" s="111" t="n">
        <x:v>6</x:v>
      </x:c>
      <x:c r="M98" s="111" t="str">
        <x:v>-6</x:v>
      </x:c>
      <x:c r="N98" s="111" t="str">
        <x:v>https://www.sec.gov/Archives/edgar/data/1692819/000169281926000019/vistra-20260630.htm</x:v>
      </x:c>
      <x:c r="O98" s="111" t="str">
        <x:v>Debt Note 12 p. 28</x:v>
      </x:c>
      <x:c r="P98" s="111" t="str"/>
      <x:c r="Q98" s="111" t="str">
        <x:v>c6d9f5b5d8348c2060282019841c8bec09662fefd3b78f6fefd3add3ed985875</x:v>
      </x:c>
      <x:c r="R98" s="96" t="str">
        <x:v>iso4217:USD; Exact tag, duration, USD, Vistra CIK and no dimensions; agreeing duplicates only</x:v>
      </x:c>
    </x:row>
    <x:row r="99" ht="52" customHeight="1">
      <x:c r="A99" s="93" t="str">
        <x:v>coverage_prior_capitalized</x:v>
      </x:c>
      <x:c r="B99" s="121" t="n">
        <x:v>56000000</x:v>
      </x:c>
      <x:c r="C99" s="111" t="str">
        <x:v>prior capitalized</x:v>
      </x:c>
      <x:c r="D99" s="122" t="d">
        <x:v>2025-01-01T00:00:00.000Z</x:v>
      </x:c>
      <x:c r="E99" s="122" t="d">
        <x:v>2025-06-30T00:00:00.000Z</x:v>
      </x:c>
      <x:c r="F99" s="111" t="str">
        <x:v>10-Q</x:v>
      </x:c>
      <x:c r="G99" s="122" t="d">
        <x:v>2026-08-10T00:00:00.000Z</x:v>
      </x:c>
      <x:c r="H99" s="111" t="str">
        <x:v>0001692819-26-000019</x:v>
      </x:c>
      <x:c r="I99" s="111" t="str">
        <x:v>us-gaap:InterestCostsCapitalizedAdjustment</x:v>
      </x:c>
      <x:c r="J99" s="111" t="str">
        <x:v>c-7</x:v>
      </x:c>
      <x:c r="K99" s="111" t="str">
        <x:v>[]</x:v>
      </x:c>
      <x:c r="L99" s="111" t="n">
        <x:v>6</x:v>
      </x:c>
      <x:c r="M99" s="111" t="str">
        <x:v>-6</x:v>
      </x:c>
      <x:c r="N99" s="111" t="str">
        <x:v>https://www.sec.gov/Archives/edgar/data/1692819/000169281926000019/vistra-20260630.htm</x:v>
      </x:c>
      <x:c r="O99" s="111" t="str">
        <x:v>Debt Note 12 p. 28</x:v>
      </x:c>
      <x:c r="P99" s="111" t="str"/>
      <x:c r="Q99" s="111" t="str">
        <x:v>c6d9f5b5d8348c2060282019841c8bec09662fefd3b78f6fefd3add3ed985875</x:v>
      </x:c>
      <x:c r="R99" s="96" t="str">
        <x:v>iso4217:USD; Exact tag, duration, USD, Vistra CIK and no dimensions; agreeing duplicates only</x:v>
      </x:c>
    </x:row>
    <x:row r="100" ht="52" customHeight="1">
      <x:c r="A100" s="93" t="str">
        <x:v>coverage_prior_other</x:v>
      </x:c>
      <x:c r="B100" s="121" t="n">
        <x:v>35000000</x:v>
      </x:c>
      <x:c r="C100" s="111" t="str">
        <x:v>prior other</x:v>
      </x:c>
      <x:c r="D100" s="122" t="d">
        <x:v>2025-01-01T00:00:00.000Z</x:v>
      </x:c>
      <x:c r="E100" s="122" t="d">
        <x:v>2025-06-30T00:00:00.000Z</x:v>
      </x:c>
      <x:c r="F100" s="111" t="str">
        <x:v>10-Q</x:v>
      </x:c>
      <x:c r="G100" s="122" t="d">
        <x:v>2026-08-10T00:00:00.000Z</x:v>
      </x:c>
      <x:c r="H100" s="111" t="str">
        <x:v>0001692819-26-000019</x:v>
      </x:c>
      <x:c r="I100" s="111" t="str">
        <x:v>us-gaap:InterestExpenseOther</x:v>
      </x:c>
      <x:c r="J100" s="111" t="str">
        <x:v>c-7</x:v>
      </x:c>
      <x:c r="K100" s="111" t="str">
        <x:v>[]</x:v>
      </x:c>
      <x:c r="L100" s="111" t="n">
        <x:v>6</x:v>
      </x:c>
      <x:c r="M100" s="111" t="str">
        <x:v>-6</x:v>
      </x:c>
      <x:c r="N100" s="111" t="str">
        <x:v>https://www.sec.gov/Archives/edgar/data/1692819/000169281926000019/vistra-20260630.htm</x:v>
      </x:c>
      <x:c r="O100" s="111" t="str">
        <x:v>Debt Note 12 p. 28</x:v>
      </x:c>
      <x:c r="P100" s="111" t="str"/>
      <x:c r="Q100" s="111" t="str">
        <x:v>c6d9f5b5d8348c2060282019841c8bec09662fefd3b78f6fefd3add3ed985875</x:v>
      </x:c>
      <x:c r="R100" s="96" t="str">
        <x:v>iso4217:USD; Exact tag, duration, USD, Vistra CIK and no dimensions; agreeing duplicates only</x:v>
      </x:c>
    </x:row>
    <x:row r="101" ht="52" customHeight="1">
      <x:c r="A101" s="93" t="str">
        <x:v>coverage_prior_total</x:v>
      </x:c>
      <x:c r="B101" s="121" t="n">
        <x:v>622000000</x:v>
      </x:c>
      <x:c r="C101" s="111" t="str">
        <x:v>prior total</x:v>
      </x:c>
      <x:c r="D101" s="122" t="d">
        <x:v>2025-01-01T00:00:00.000Z</x:v>
      </x:c>
      <x:c r="E101" s="122" t="d">
        <x:v>2025-06-30T00:00:00.000Z</x:v>
      </x:c>
      <x:c r="F101" s="111" t="str">
        <x:v>10-Q</x:v>
      </x:c>
      <x:c r="G101" s="122" t="d">
        <x:v>2026-08-10T00:00:00.000Z</x:v>
      </x:c>
      <x:c r="H101" s="111" t="str">
        <x:v>0001692819-26-000019</x:v>
      </x:c>
      <x:c r="I101" s="111" t="str">
        <x:v>us-gaap:InterestExpenseNonoperating</x:v>
      </x:c>
      <x:c r="J101" s="111" t="str">
        <x:v>c-7</x:v>
      </x:c>
      <x:c r="K101" s="111" t="str">
        <x:v>[]</x:v>
      </x:c>
      <x:c r="L101" s="111" t="n">
        <x:v>6</x:v>
      </x:c>
      <x:c r="M101" s="111" t="str">
        <x:v>-6</x:v>
      </x:c>
      <x:c r="N101" s="111" t="str">
        <x:v>https://www.sec.gov/Archives/edgar/data/1692819/000169281926000019/vistra-20260630.htm</x:v>
      </x:c>
      <x:c r="O101" s="111" t="str">
        <x:v>Debt Note 12 p. 28</x:v>
      </x:c>
      <x:c r="P101" s="111" t="str"/>
      <x:c r="Q101" s="111" t="str">
        <x:v>c6d9f5b5d8348c2060282019841c8bec09662fefd3b78f6fefd3add3ed985875</x:v>
      </x:c>
      <x:c r="R101" s="96" t="str">
        <x:v>iso4217:USD; Exact tag, duration, USD, Vistra CIK and no dimensions; agreeing duplicates only</x:v>
      </x:c>
    </x:row>
    <x:row r="102" ht="52" customHeight="1">
      <x:c r="A102" s="93" t="str">
        <x:v>coverage_prior_original_operating_income</x:v>
      </x:c>
      <x:c r="B102" s="121" t="n">
        <x:v>395000000</x:v>
      </x:c>
      <x:c r="C102" s="111" t="str">
        <x:v>prior_original operating_income</x:v>
      </x:c>
      <x:c r="D102" s="122" t="d">
        <x:v>2025-01-01T00:00:00.000Z</x:v>
      </x:c>
      <x:c r="E102" s="122" t="d">
        <x:v>2025-06-30T00:00:00.000Z</x:v>
      </x:c>
      <x:c r="F102" s="111" t="str">
        <x:v>10-Q</x:v>
      </x:c>
      <x:c r="G102" s="122" t="d">
        <x:v>2025-08-08T00:00:00.000Z</x:v>
      </x:c>
      <x:c r="H102" s="111" t="str">
        <x:v>0001692819-25-000085</x:v>
      </x:c>
      <x:c r="I102" s="111" t="str">
        <x:v>us-gaap:OperatingIncomeLoss</x:v>
      </x:c>
      <x:c r="J102" s="111" t="str">
        <x:v>c-1</x:v>
      </x:c>
      <x:c r="K102" s="111" t="str">
        <x:v>[]</x:v>
      </x:c>
      <x:c r="L102" s="111" t="n">
        <x:v>6</x:v>
      </x:c>
      <x:c r="M102" s="111" t="str">
        <x:v>-6</x:v>
      </x:c>
      <x:c r="N102" s="111" t="str">
        <x:v>https://www.sec.gov/Archives/edgar/data/1692819/000169281925000085/vistra-20250630.htm</x:v>
      </x:c>
      <x:c r="O102" s="111" t="str">
        <x:v>Operations p. 1</x:v>
      </x:c>
      <x:c r="P102" s="111" t="str"/>
      <x:c r="Q102" s="111" t="str">
        <x:v>4234cc94ced57c42cf07c4a35295b480a87033491e96881774eee658f1dc75ea</x:v>
      </x:c>
      <x:c r="R102" s="96" t="str">
        <x:v>iso4217:USD; Exact tag, duration, USD, Vistra CIK and no dimensions; agreeing duplicates only</x:v>
      </x:c>
    </x:row>
    <x:row r="103" ht="52" customHeight="1">
      <x:c r="A103" s="93" t="str">
        <x:v>coverage_prior_original_interest</x:v>
      </x:c>
      <x:c r="B103" s="121" t="n">
        <x:v>547000000</x:v>
      </x:c>
      <x:c r="C103" s="111" t="str">
        <x:v>prior_original interest</x:v>
      </x:c>
      <x:c r="D103" s="122" t="d">
        <x:v>2025-01-01T00:00:00.000Z</x:v>
      </x:c>
      <x:c r="E103" s="122" t="d">
        <x:v>2025-06-30T00:00:00.000Z</x:v>
      </x:c>
      <x:c r="F103" s="111" t="str">
        <x:v>10-Q</x:v>
      </x:c>
      <x:c r="G103" s="122" t="d">
        <x:v>2025-08-08T00:00:00.000Z</x:v>
      </x:c>
      <x:c r="H103" s="111" t="str">
        <x:v>0001692819-25-000085</x:v>
      </x:c>
      <x:c r="I103" s="111" t="str">
        <x:v>vistra:PostEmergenceInterestPaidAndAccrued</x:v>
      </x:c>
      <x:c r="J103" s="111" t="str">
        <x:v>c-1</x:v>
      </x:c>
      <x:c r="K103" s="111" t="str">
        <x:v>[]</x:v>
      </x:c>
      <x:c r="L103" s="111" t="n">
        <x:v>6</x:v>
      </x:c>
      <x:c r="M103" s="111" t="str">
        <x:v>-6</x:v>
      </x:c>
      <x:c r="N103" s="111" t="str">
        <x:v>https://www.sec.gov/Archives/edgar/data/1692819/000169281925000085/vistra-20250630.htm</x:v>
      </x:c>
      <x:c r="O103" s="111" t="str">
        <x:v>Debt Note 9 p. 30</x:v>
      </x:c>
      <x:c r="P103" s="111" t="str"/>
      <x:c r="Q103" s="111" t="str">
        <x:v>4234cc94ced57c42cf07c4a35295b480a87033491e96881774eee658f1dc75ea</x:v>
      </x:c>
      <x:c r="R103" s="96" t="str">
        <x:v>iso4217:USD; Exact tag, duration, USD, Vistra CIK and no dimensions; agreeing duplicates only</x:v>
      </x:c>
    </x:row>
    <x:row r="104" ht="52" customHeight="1">
      <x:c r="A104" s="93" t="str">
        <x:v>coverage_prior_original_swaps</x:v>
      </x:c>
      <x:c r="B104" s="121" t="n">
        <x:v>-74000000</x:v>
      </x:c>
      <x:c r="C104" s="111" t="str">
        <x:v>prior_original swaps</x:v>
      </x:c>
      <x:c r="D104" s="122" t="d">
        <x:v>2025-01-01T00:00:00.000Z</x:v>
      </x:c>
      <x:c r="E104" s="122" t="d">
        <x:v>2025-06-30T00:00:00.000Z</x:v>
      </x:c>
      <x:c r="F104" s="111" t="str">
        <x:v>10-Q</x:v>
      </x:c>
      <x:c r="G104" s="122" t="d">
        <x:v>2025-08-08T00:00:00.000Z</x:v>
      </x:c>
      <x:c r="H104" s="111" t="str">
        <x:v>0001692819-25-000085</x:v>
      </x:c>
      <x:c r="I104" s="111" t="str">
        <x:v>vistra:UnrealizedGainLossOnInterestRateSwapDerivatives</x:v>
      </x:c>
      <x:c r="J104" s="111" t="str">
        <x:v>c-1</x:v>
      </x:c>
      <x:c r="K104" s="111" t="str">
        <x:v>[]</x:v>
      </x:c>
      <x:c r="L104" s="111" t="n">
        <x:v>6</x:v>
      </x:c>
      <x:c r="M104" s="111" t="str">
        <x:v>-6</x:v>
      </x:c>
      <x:c r="N104" s="111" t="str">
        <x:v>https://www.sec.gov/Archives/edgar/data/1692819/000169281925000085/vistra-20250630.htm</x:v>
      </x:c>
      <x:c r="O104" s="111" t="str">
        <x:v>Debt Note 9 p. 30</x:v>
      </x:c>
      <x:c r="P104" s="111" t="str"/>
      <x:c r="Q104" s="111" t="str">
        <x:v>4234cc94ced57c42cf07c4a35295b480a87033491e96881774eee658f1dc75ea</x:v>
      </x:c>
      <x:c r="R104" s="96" t="str">
        <x:v>iso4217:USD; Exact tag, duration, USD, Vistra CIK and no dimensions; agreeing duplicates only</x:v>
      </x:c>
    </x:row>
    <x:row r="105" ht="52" customHeight="1">
      <x:c r="A105" s="93" t="str">
        <x:v>coverage_prior_original_amortization</x:v>
      </x:c>
      <x:c r="B105" s="121" t="n">
        <x:v>22000000</x:v>
      </x:c>
      <x:c r="C105" s="111" t="str">
        <x:v>prior_original amortization</x:v>
      </x:c>
      <x:c r="D105" s="122" t="d">
        <x:v>2025-01-01T00:00:00.000Z</x:v>
      </x:c>
      <x:c r="E105" s="122" t="d">
        <x:v>2025-06-30T00:00:00.000Z</x:v>
      </x:c>
      <x:c r="F105" s="111" t="str">
        <x:v>10-Q</x:v>
      </x:c>
      <x:c r="G105" s="122" t="d">
        <x:v>2025-08-08T00:00:00.000Z</x:v>
      </x:c>
      <x:c r="H105" s="111" t="str">
        <x:v>0001692819-25-000085</x:v>
      </x:c>
      <x:c r="I105" s="111" t="str">
        <x:v>us-gaap:AmortizationOfDebtDiscountPremium</x:v>
      </x:c>
      <x:c r="J105" s="111" t="str">
        <x:v>c-1</x:v>
      </x:c>
      <x:c r="K105" s="111" t="str">
        <x:v>[]</x:v>
      </x:c>
      <x:c r="L105" s="111" t="n">
        <x:v>6</x:v>
      </x:c>
      <x:c r="M105" s="111" t="str">
        <x:v>-6</x:v>
      </x:c>
      <x:c r="N105" s="111" t="str">
        <x:v>https://www.sec.gov/Archives/edgar/data/1692819/000169281925000085/vistra-20250630.htm</x:v>
      </x:c>
      <x:c r="O105" s="111" t="str">
        <x:v>Debt Note 9 p. 30</x:v>
      </x:c>
      <x:c r="P105" s="111" t="str"/>
      <x:c r="Q105" s="111" t="str">
        <x:v>4234cc94ced57c42cf07c4a35295b480a87033491e96881774eee658f1dc75ea</x:v>
      </x:c>
      <x:c r="R105" s="96" t="str">
        <x:v>iso4217:USD; Exact tag, duration, USD, Vistra CIK and no dimensions; agreeing duplicates only</x:v>
      </x:c>
    </x:row>
    <x:row r="106" ht="52" customHeight="1">
      <x:c r="A106" s="93" t="str">
        <x:v>coverage_prior_original_extinguishment</x:v>
      </x:c>
      <x:c r="B106" s="121" t="n">
        <x:v>0</x:v>
      </x:c>
      <x:c r="C106" s="111" t="str">
        <x:v>prior_original extinguishment</x:v>
      </x:c>
      <x:c r="D106" s="122" t="d">
        <x:v>2025-01-01T00:00:00.000Z</x:v>
      </x:c>
      <x:c r="E106" s="122" t="d">
        <x:v>2025-06-30T00:00:00.000Z</x:v>
      </x:c>
      <x:c r="F106" s="111" t="str">
        <x:v>10-Q</x:v>
      </x:c>
      <x:c r="G106" s="122" t="d">
        <x:v>2025-08-08T00:00:00.000Z</x:v>
      </x:c>
      <x:c r="H106" s="111" t="str">
        <x:v>0001692819-25-000085</x:v>
      </x:c>
      <x:c r="I106" s="111" t="str">
        <x:v>us-gaap:GainsLossesOnExtinguishmentOfDebt</x:v>
      </x:c>
      <x:c r="J106" s="111" t="str">
        <x:v>c-1</x:v>
      </x:c>
      <x:c r="K106" s="111" t="str">
        <x:v>[]</x:v>
      </x:c>
      <x:c r="L106" s="111" t="n">
        <x:v>6</x:v>
      </x:c>
      <x:c r="M106" s="111" t="str">
        <x:v>-6</x:v>
      </x:c>
      <x:c r="N106" s="111" t="str">
        <x:v>https://www.sec.gov/Archives/edgar/data/1692819/000169281925000085/vistra-20250630.htm</x:v>
      </x:c>
      <x:c r="O106" s="111" t="str">
        <x:v>Debt Note 9 p. 30</x:v>
      </x:c>
      <x:c r="P106" s="111" t="str"/>
      <x:c r="Q106" s="111" t="str">
        <x:v>4234cc94ced57c42cf07c4a35295b480a87033491e96881774eee658f1dc75ea</x:v>
      </x:c>
      <x:c r="R106" s="96" t="str">
        <x:v>iso4217:USD; Exact tag, duration, USD, Vistra CIK and no dimensions; agreeing duplicates only</x:v>
      </x:c>
    </x:row>
    <x:row r="107" ht="52" customHeight="1">
      <x:c r="A107" s="93" t="str">
        <x:v>coverage_prior_original_capitalized</x:v>
      </x:c>
      <x:c r="B107" s="121" t="n">
        <x:v>56000000</x:v>
      </x:c>
      <x:c r="C107" s="111" t="str">
        <x:v>prior_original capitalized</x:v>
      </x:c>
      <x:c r="D107" s="122" t="d">
        <x:v>2025-01-01T00:00:00.000Z</x:v>
      </x:c>
      <x:c r="E107" s="122" t="d">
        <x:v>2025-06-30T00:00:00.000Z</x:v>
      </x:c>
      <x:c r="F107" s="111" t="str">
        <x:v>10-Q</x:v>
      </x:c>
      <x:c r="G107" s="122" t="d">
        <x:v>2025-08-08T00:00:00.000Z</x:v>
      </x:c>
      <x:c r="H107" s="111" t="str">
        <x:v>0001692819-25-000085</x:v>
      </x:c>
      <x:c r="I107" s="111" t="str">
        <x:v>us-gaap:InterestCostsCapitalizedAdjustment</x:v>
      </x:c>
      <x:c r="J107" s="111" t="str">
        <x:v>c-1</x:v>
      </x:c>
      <x:c r="K107" s="111" t="str">
        <x:v>[]</x:v>
      </x:c>
      <x:c r="L107" s="111" t="n">
        <x:v>6</x:v>
      </x:c>
      <x:c r="M107" s="111" t="str">
        <x:v>-6</x:v>
      </x:c>
      <x:c r="N107" s="111" t="str">
        <x:v>https://www.sec.gov/Archives/edgar/data/1692819/000169281925000085/vistra-20250630.htm</x:v>
      </x:c>
      <x:c r="O107" s="111" t="str">
        <x:v>Debt Note 9 p. 30</x:v>
      </x:c>
      <x:c r="P107" s="111" t="str"/>
      <x:c r="Q107" s="111" t="str">
        <x:v>4234cc94ced57c42cf07c4a35295b480a87033491e96881774eee658f1dc75ea</x:v>
      </x:c>
      <x:c r="R107" s="96" t="str">
        <x:v>iso4217:USD; Exact tag, duration, USD, Vistra CIK and no dimensions; agreeing duplicates only</x:v>
      </x:c>
    </x:row>
    <x:row r="108" ht="52" customHeight="1">
      <x:c r="A108" s="93" t="str">
        <x:v>coverage_prior_original_other</x:v>
      </x:c>
      <x:c r="B108" s="121" t="n">
        <x:v>35000000</x:v>
      </x:c>
      <x:c r="C108" s="111" t="str">
        <x:v>prior_original other</x:v>
      </x:c>
      <x:c r="D108" s="122" t="d">
        <x:v>2025-01-01T00:00:00.000Z</x:v>
      </x:c>
      <x:c r="E108" s="122" t="d">
        <x:v>2025-06-30T00:00:00.000Z</x:v>
      </x:c>
      <x:c r="F108" s="111" t="str">
        <x:v>10-Q</x:v>
      </x:c>
      <x:c r="G108" s="122" t="d">
        <x:v>2025-08-08T00:00:00.000Z</x:v>
      </x:c>
      <x:c r="H108" s="111" t="str">
        <x:v>0001692819-25-000085</x:v>
      </x:c>
      <x:c r="I108" s="111" t="str">
        <x:v>us-gaap:InterestExpenseOther</x:v>
      </x:c>
      <x:c r="J108" s="111" t="str">
        <x:v>c-1</x:v>
      </x:c>
      <x:c r="K108" s="111" t="str">
        <x:v>[]</x:v>
      </x:c>
      <x:c r="L108" s="111" t="n">
        <x:v>6</x:v>
      </x:c>
      <x:c r="M108" s="111" t="str">
        <x:v>-6</x:v>
      </x:c>
      <x:c r="N108" s="111" t="str">
        <x:v>https://www.sec.gov/Archives/edgar/data/1692819/000169281925000085/vistra-20250630.htm</x:v>
      </x:c>
      <x:c r="O108" s="111" t="str">
        <x:v>Debt Note 9 p. 30</x:v>
      </x:c>
      <x:c r="P108" s="111" t="str"/>
      <x:c r="Q108" s="111" t="str">
        <x:v>4234cc94ced57c42cf07c4a35295b480a87033491e96881774eee658f1dc75ea</x:v>
      </x:c>
      <x:c r="R108" s="96" t="str">
        <x:v>iso4217:USD; Exact tag, duration, USD, Vistra CIK and no dimensions; agreeing duplicates only</x:v>
      </x:c>
    </x:row>
    <x:row r="109" ht="52" customHeight="1">
      <x:c r="A109" s="97" t="str">
        <x:v>coverage_prior_original_total</x:v>
      </x:c>
      <x:c r="B109" s="123" t="n">
        <x:v>622000000</x:v>
      </x:c>
      <x:c r="C109" s="114" t="str">
        <x:v>prior_original total</x:v>
      </x:c>
      <x:c r="D109" s="124" t="d">
        <x:v>2025-01-01T00:00:00.000Z</x:v>
      </x:c>
      <x:c r="E109" s="124" t="d">
        <x:v>2025-06-30T00:00:00.000Z</x:v>
      </x:c>
      <x:c r="F109" s="114" t="str">
        <x:v>10-Q</x:v>
      </x:c>
      <x:c r="G109" s="124" t="d">
        <x:v>2025-08-08T00:00:00.000Z</x:v>
      </x:c>
      <x:c r="H109" s="114" t="str">
        <x:v>0001692819-25-000085</x:v>
      </x:c>
      <x:c r="I109" s="114" t="str">
        <x:v>us-gaap:InterestExpenseNonoperating</x:v>
      </x:c>
      <x:c r="J109" s="114" t="str">
        <x:v>c-1</x:v>
      </x:c>
      <x:c r="K109" s="114" t="str">
        <x:v>[]</x:v>
      </x:c>
      <x:c r="L109" s="114" t="n">
        <x:v>6</x:v>
      </x:c>
      <x:c r="M109" s="114" t="str">
        <x:v>-6</x:v>
      </x:c>
      <x:c r="N109" s="114" t="str">
        <x:v>https://www.sec.gov/Archives/edgar/data/1692819/000169281925000085/vistra-20250630.htm</x:v>
      </x:c>
      <x:c r="O109" s="114" t="str">
        <x:v>Debt Note 9 p. 30</x:v>
      </x:c>
      <x:c r="P109" s="114" t="str"/>
      <x:c r="Q109" s="114" t="str">
        <x:v>4234cc94ced57c42cf07c4a35295b480a87033491e96881774eee658f1dc75ea</x:v>
      </x:c>
      <x:c r="R109" s="100" t="str">
        <x:v>iso4217:USD; Exact tag, duration, USD, Vistra CIK and no dimensions; agreeing duplicates only</x:v>
      </x:c>
    </x:row>
    <x:row r="112" ht="72" customHeight="1">
      <x:c r="A112" s="13" t="str">
        <x:v>Funding conclusion evidence</x:v>
      </x:c>
      <x:c r="B112" s="226" t="str">
        <x:v>Filing / filed date</x:v>
      </x:c>
      <x:c r="C112" s="226" t="str">
        <x:v>Accession</x:v>
      </x:c>
      <x:c r="D112" s="14" t="str">
        <x:v>Location</x:v>
      </x:c>
      <x:c r="N112" s="230" t="str">
        <x:v>SEC source</x:v>
      </x:c>
    </x:row>
    <x:row r="113" ht="72" customHeight="1">
      <x:c r="A113" s="25" t="str">
        <x:v>Near-term obligations</x:v>
      </x:c>
      <x:c r="B113" s="212" t="str">
        <x:v>10-Q filed Aug 10, 2026</x:v>
      </x:c>
      <x:c r="C113" s="212" t="str">
        <x:v>0001692819-26-000019</x:v>
      </x:c>
      <x:c r="D113" s="16" t="str">
        <x:v>pp. 1–5, 15, 20–28, 39, 67–70</x:v>
      </x:c>
      <x:c r="N113" s="215" t="str">
        <x:v>https://www.sec.gov/Archives/edgar/data/1692819/000169281926000019/vistra-20260630.htm</x:v>
      </x:c>
    </x:row>
    <x:row r="114" ht="72" customHeight="1">
      <x:c r="A114" s="25" t="str">
        <x:v>Resources and access</x:v>
      </x:c>
      <x:c r="B114" s="212" t="str">
        <x:v>10-Q filed Aug 10, 2026</x:v>
      </x:c>
      <x:c r="C114" s="212" t="str">
        <x:v>0001692819-26-000019</x:v>
      </x:c>
      <x:c r="D114" s="16" t="str">
        <x:v>pp. 1–5, 15, 20–28, 39, 67–70</x:v>
      </x:c>
      <x:c r="N114" s="215" t="str">
        <x:v>https://www.sec.gov/Archives/edgar/data/1692819/000169281926000019/vistra-20260630.htm</x:v>
      </x:c>
    </x:row>
    <x:row r="115" ht="72" customHeight="1">
      <x:c r="A115" s="25" t="str">
        <x:v>Resources and access</x:v>
      </x:c>
      <x:c r="B115" s="212" t="str">
        <x:v>10-K filed Feb 27, 2026</x:v>
      </x:c>
      <x:c r="C115" s="212" t="str">
        <x:v>0001692819-26-000006</x:v>
      </x:c>
      <x:c r="D115" s="16" t="str">
        <x:v>pp. 79, 113–121, 159–160</x:v>
      </x:c>
      <x:c r="N115" s="215" t="str">
        <x:v>https://www.sec.gov/Archives/edgar/data/1692819/000169281926000006/vistra-20251231.htm</x:v>
      </x:c>
    </x:row>
    <x:row r="116" ht="72" customHeight="1">
      <x:c r="A116" s="25" t="str">
        <x:v>Resources and access</x:v>
      </x:c>
      <x:c r="B116" s="212" t="str">
        <x:v>Credit amendment filed Jun 30, 2026</x:v>
      </x:c>
      <x:c r="C116" s="212" t="str">
        <x:v>0001140361-26-026944</x:v>
      </x:c>
      <x:c r="D116" s="16" t="str">
        <x:v>Annex B §§7.1–7.2, 9.13, 10.9</x:v>
      </x:c>
      <x:c r="N116" s="215" t="str">
        <x:v>https://www.sec.gov/Archives/edgar/data/1692819/000114036126026944/ef20077059_ex10-1.htm</x:v>
      </x:c>
    </x:row>
    <x:row r="117" ht="72" customHeight="1">
      <x:c r="A117" s="25" t="str">
        <x:v>Competing cash uses</x:v>
      </x:c>
      <x:c r="B117" s="212" t="str">
        <x:v>10-Q filed Aug 10, 2026</x:v>
      </x:c>
      <x:c r="C117" s="212" t="str">
        <x:v>0001692819-26-000019</x:v>
      </x:c>
      <x:c r="D117" s="16" t="str">
        <x:v>pp. 1–5, 15, 20–28, 39, 67–70</x:v>
      </x:c>
      <x:c r="N117" s="215" t="str">
        <x:v>https://www.sec.gov/Archives/edgar/data/1692819/000169281926000019/vistra-20260630.htm</x:v>
      </x:c>
    </x:row>
    <x:row r="118" ht="72" customHeight="1">
      <x:c r="A118" s="25" t="str">
        <x:v>Decisive unknowns</x:v>
      </x:c>
      <x:c r="B118" s="212" t="str">
        <x:v>10-Q filed Aug 10, 2026</x:v>
      </x:c>
      <x:c r="C118" s="212" t="str">
        <x:v>0001692819-26-000019</x:v>
      </x:c>
      <x:c r="D118" s="16" t="str">
        <x:v>pp. 1–5, 15, 20–28, 39, 67–70</x:v>
      </x:c>
      <x:c r="N118" s="215" t="str">
        <x:v>https://www.sec.gov/Archives/edgar/data/1692819/000169281926000019/vistra-20260630.htm</x:v>
      </x:c>
    </x:row>
    <x:row r="119" ht="72" customHeight="1">
      <x:c r="A119" s="25" t="str">
        <x:v>Decisive unknowns</x:v>
      </x:c>
      <x:c r="B119" s="212" t="str">
        <x:v>10-K filed Feb 27, 2026</x:v>
      </x:c>
      <x:c r="C119" s="212" t="str">
        <x:v>0001692819-26-000006</x:v>
      </x:c>
      <x:c r="D119" s="16" t="str">
        <x:v>pp. 79, 113–121, 159–160</x:v>
      </x:c>
      <x:c r="N119" s="215" t="str">
        <x:v>https://www.sec.gov/Archives/edgar/data/1692819/000169281926000006/vistra-20251231.htm</x:v>
      </x:c>
    </x:row>
    <x:row r="120" ht="72" customHeight="1">
      <x:c r="A120" s="25" t="str">
        <x:v>Decisive unknowns</x:v>
      </x:c>
      <x:c r="B120" s="212" t="str">
        <x:v>Credit amendment filed Jun 30, 2026</x:v>
      </x:c>
      <x:c r="C120" s="212" t="str">
        <x:v>0001140361-26-026944</x:v>
      </x:c>
      <x:c r="D120" s="16" t="str">
        <x:v>Annex B §§7.1–7.2, 9.13, 10.9</x:v>
      </x:c>
      <x:c r="N120" s="215" t="str">
        <x:v>https://www.sec.gov/Archives/edgar/data/1692819/000114036126026944/ef20077059_ex10-1.htm</x:v>
      </x:c>
    </x:row>
    <x:row r="121" ht="72" customHeight="1">
      <x:c r="A121" s="25" t="str">
        <x:v>Decisive unknowns</x:v>
      </x:c>
      <x:c r="B121" s="212" t="str">
        <x:v>Issuance 8-K filed Sep 24, 2026</x:v>
      </x:c>
      <x:c r="C121" s="212" t="str">
        <x:v>0001140361-26-037577</x:v>
      </x:c>
      <x:c r="D121" s="16" t="str">
        <x:v>Items 1.01, 8.01; Ex. 4.2</x:v>
      </x:c>
      <x:c r="N121" s="215" t="str">
        <x:v>https://www.sec.gov/Archives/edgar/data/1692819/000114036126037577/ef20082680_8k.htm</x:v>
      </x:c>
    </x:row>
    <x:row r="122" ht="72" customHeight="1">
      <x:c r="A122" s="25" t="str">
        <x:v>Historical coverage</x:v>
      </x:c>
      <x:c r="B122" s="212" t="str">
        <x:v>10-Q filed Aug 10, 2026</x:v>
      </x:c>
      <x:c r="C122" s="212" t="str">
        <x:v>0001692819-26-000019</x:v>
      </x:c>
      <x:c r="D122" s="16" t="str">
        <x:v>Operations p. 1; interest Note 12 p. 28</x:v>
      </x:c>
      <x:c r="N122" s="215" t="str">
        <x:v>https://www.sec.gov/Archives/edgar/data/1692819/000169281926000019/vistra-20260630.htm</x:v>
      </x:c>
    </x:row>
    <x:row r="123" ht="72" customHeight="1">
      <x:c r="A123" s="26" t="str">
        <x:v>Historical coverage</x:v>
      </x:c>
      <x:c r="B123" s="213" t="str">
        <x:v>10-K filed Feb 27, 2026</x:v>
      </x:c>
      <x:c r="C123" s="213" t="str">
        <x:v>0001692819-26-000006</x:v>
      </x:c>
      <x:c r="D123" s="18" t="str">
        <x:v>Operations p. 79; interest table p. 121</x:v>
      </x:c>
      <x:c r="N123" s="216" t="str">
        <x:v>https://www.sec.gov/Archives/edgar/data/1692819/000169281926000006/vistra-20251231.htm</x:v>
      </x:c>
    </x:row>
    <x:row r="126" ht="78" customHeight="1">
      <x:c r="A126" s="13" t="str">
        <x:v>Input</x:v>
      </x:c>
      <x:c r="B126" s="226" t="str">
        <x:v>USD, displayed millions</x:v>
      </x:c>
      <x:c r="C126" s="226" t="str">
        <x:v>Description</x:v>
      </x:c>
      <x:c r="D126" s="226" t="str">
        <x:v>Period from</x:v>
      </x:c>
      <x:c r="E126" s="226" t="str">
        <x:v>Period through</x:v>
      </x:c>
      <x:c r="F126" s="226" t="str">
        <x:v>Form</x:v>
      </x:c>
      <x:c r="G126" s="226" t="str">
        <x:v>Filed</x:v>
      </x:c>
      <x:c r="H126" s="226" t="str">
        <x:v>Accession</x:v>
      </x:c>
      <x:c r="I126" s="226" t="str">
        <x:v>Tag</x:v>
      </x:c>
      <x:c r="J126" s="226" t="str">
        <x:v>Context</x:v>
      </x:c>
      <x:c r="K126" s="226" t="str">
        <x:v>Dimensions</x:v>
      </x:c>
      <x:c r="L126" s="226" t="str">
        <x:v>Scale</x:v>
      </x:c>
      <x:c r="M126" s="226" t="str">
        <x:v>Decimals</x:v>
      </x:c>
      <x:c r="N126" s="226" t="str">
        <x:v>Source</x:v>
      </x:c>
      <x:c r="O126" s="226" t="str">
        <x:v>Location</x:v>
      </x:c>
      <x:c r="P126" s="226" t="str">
        <x:v>Reason if unavailable</x:v>
      </x:c>
      <x:c r="Q126" s="226" t="str">
        <x:v>Reviewed source SHA256</x:v>
      </x:c>
      <x:c r="R126" s="14" t="str">
        <x:v>Unit and selection rule</x:v>
      </x:c>
    </x:row>
    <x:row r="127" ht="78" customHeight="1">
      <x:c r="A127" s="25" t="str">
        <x:v>Long-term debt, current portion</x:v>
      </x:c>
      <x:c r="B127" s="234" t="n">
        <x:v>1876000000</x:v>
      </x:c>
      <x:c r="C127" s="212" t="str">
        <x:v>Long-term debt, current portion</x:v>
      </x:c>
      <x:c r="D127" s="212"/>
      <x:c r="E127" s="235" t="d">
        <x:v>2026-06-30T00:00:00.000Z</x:v>
      </x:c>
      <x:c r="F127" s="212" t="str">
        <x:v>10-Q</x:v>
      </x:c>
      <x:c r="G127" s="235" t="d">
        <x:v>2026-08-10T00:00:00.000Z</x:v>
      </x:c>
      <x:c r="H127" s="212" t="str">
        <x:v>0001692819-26-000019</x:v>
      </x:c>
      <x:c r="I127" s="212" t="str">
        <x:v>us-gaap:LongTermDebtAndCapitalLeaseObligationsCurrent</x:v>
      </x:c>
      <x:c r="J127" s="212"/>
      <x:c r="K127" s="212" t="str">
        <x:v>[]</x:v>
      </x:c>
      <x:c r="L127" s="212"/>
      <x:c r="M127" s="212"/>
      <x:c r="N127" s="212" t="str">
        <x:v>https://www.sec.gov/Archives/edgar/data/1692819/000169281926000019/vistra-20260630.htm</x:v>
      </x:c>
      <x:c r="O127" s="212" t="str">
        <x:v>10-Q balance sheet, p. 2; Note 12, p. 20</x:v>
      </x:c>
      <x:c r="P127" s="212" t="str"/>
      <x:c r="Q127" s="212" t="str"/>
      <x:c r="R127" s="16" t="str">
        <x:v>USD; exact checked instant</x:v>
      </x:c>
    </x:row>
    <x:row r="128" ht="78" customHeight="1">
      <x:c r="A128" s="25" t="str">
        <x:v>Long-term debt, noncurrent</x:v>
      </x:c>
      <x:c r="B128" s="234" t="n">
        <x:v>17719000000</x:v>
      </x:c>
      <x:c r="C128" s="212" t="str">
        <x:v>Long-term debt, noncurrent</x:v>
      </x:c>
      <x:c r="D128" s="212"/>
      <x:c r="E128" s="235" t="d">
        <x:v>2026-06-30T00:00:00.000Z</x:v>
      </x:c>
      <x:c r="F128" s="212" t="str">
        <x:v>10-Q</x:v>
      </x:c>
      <x:c r="G128" s="235" t="d">
        <x:v>2026-08-10T00:00:00.000Z</x:v>
      </x:c>
      <x:c r="H128" s="212" t="str">
        <x:v>0001692819-26-000019</x:v>
      </x:c>
      <x:c r="I128" s="212" t="str">
        <x:v>us-gaap:LongTermDebtAndCapitalLeaseObligations</x:v>
      </x:c>
      <x:c r="J128" s="212"/>
      <x:c r="K128" s="212" t="str">
        <x:v>[]</x:v>
      </x:c>
      <x:c r="L128" s="212"/>
      <x:c r="M128" s="212"/>
      <x:c r="N128" s="212" t="str">
        <x:v>https://www.sec.gov/Archives/edgar/data/1692819/000169281926000019/vistra-20260630.htm</x:v>
      </x:c>
      <x:c r="O128" s="212" t="str">
        <x:v>10-Q balance sheet, p. 2; Note 12, p. 20</x:v>
      </x:c>
      <x:c r="P128" s="212" t="str"/>
      <x:c r="Q128" s="212" t="str"/>
      <x:c r="R128" s="16" t="str">
        <x:v>USD; exact checked instant</x:v>
      </x:c>
    </x:row>
    <x:row r="129" ht="78" customHeight="1">
      <x:c r="A129" s="25" t="str">
        <x:v>Short-term borrowings</x:v>
      </x:c>
      <x:c r="B129" s="234" t="n">
        <x:v>0</x:v>
      </x:c>
      <x:c r="C129" s="212" t="str">
        <x:v>Short-term borrowings</x:v>
      </x:c>
      <x:c r="D129" s="212"/>
      <x:c r="E129" s="235" t="d">
        <x:v>2026-06-30T00:00:00.000Z</x:v>
      </x:c>
      <x:c r="F129" s="212" t="str">
        <x:v>10-Q</x:v>
      </x:c>
      <x:c r="G129" s="235" t="d">
        <x:v>2026-08-10T00:00:00.000Z</x:v>
      </x:c>
      <x:c r="H129" s="212" t="str">
        <x:v>0001692819-26-000019</x:v>
      </x:c>
      <x:c r="I129" s="212" t="str">
        <x:v>us-gaap:ShortTermBorrowings</x:v>
      </x:c>
      <x:c r="J129" s="212"/>
      <x:c r="K129" s="212" t="str">
        <x:v>[]</x:v>
      </x:c>
      <x:c r="L129" s="212"/>
      <x:c r="M129" s="212"/>
      <x:c r="N129" s="212" t="str">
        <x:v>https://www.sec.gov/Archives/edgar/data/1692819/000169281926000019/vistra-20260630.htm</x:v>
      </x:c>
      <x:c r="O129" s="212" t="str">
        <x:v>10-Q balance sheet, p. 2; Note 12, p. 20</x:v>
      </x:c>
      <x:c r="P129" s="212" t="str"/>
      <x:c r="Q129" s="212" t="str"/>
      <x:c r="R129" s="16" t="str">
        <x:v>USD; exact checked instant</x:v>
      </x:c>
    </x:row>
    <x:row r="130" ht="78" customHeight="1">
      <x:c r="A130" s="25" t="str">
        <x:v>Accounts receivable financing</x:v>
      </x:c>
      <x:c r="B130" s="234" t="n">
        <x:v>300000000</x:v>
      </x:c>
      <x:c r="C130" s="212" t="str">
        <x:v>Accounts receivable financing</x:v>
      </x:c>
      <x:c r="D130" s="212"/>
      <x:c r="E130" s="235" t="d">
        <x:v>2026-06-30T00:00:00.000Z</x:v>
      </x:c>
      <x:c r="F130" s="212" t="str">
        <x:v>10-Q</x:v>
      </x:c>
      <x:c r="G130" s="235" t="d">
        <x:v>2026-08-10T00:00:00.000Z</x:v>
      </x:c>
      <x:c r="H130" s="212" t="str">
        <x:v>0001692819-26-000019</x:v>
      </x:c>
      <x:c r="I130" s="212" t="str">
        <x:v>vistra:AccountsReceivableSecuritizationProgramAmountsBorrowed</x:v>
      </x:c>
      <x:c r="J130" s="212" t="str">
        <x:v>c-8</x:v>
      </x:c>
      <x:c r="K130" s="212" t="str">
        <x:v>[]</x:v>
      </x:c>
      <x:c r="L130" s="212" t="n">
        <x:v>6</x:v>
      </x:c>
      <x:c r="M130" s="212" t="str">
        <x:v>-6</x:v>
      </x:c>
      <x:c r="N130" s="212" t="str">
        <x:v>https://www.sec.gov/Archives/edgar/data/1692819/000169281926000019/vistra-20260630.htm</x:v>
      </x:c>
      <x:c r="O130" s="212" t="str">
        <x:v>10-Q balance sheet, p. 2; Note 12, p. 20</x:v>
      </x:c>
      <x:c r="P130" s="212" t="str"/>
      <x:c r="Q130" s="212" t="str"/>
      <x:c r="R130" s="16" t="str">
        <x:v>USD; exact checked instant</x:v>
      </x:c>
    </x:row>
    <x:row r="131" ht="78" customHeight="1">
      <x:c r="A131" s="25" t="str">
        <x:v>Latest-date lease liabilities — Unavailable</x:v>
      </x:c>
      <x:c r="B131" s="234"/>
      <x:c r="C131" s="212" t="str">
        <x:v>Latest-date lease liabilities — Unavailable</x:v>
      </x:c>
      <x:c r="D131" s="212"/>
      <x:c r="E131" s="235" t="d">
        <x:v>2026-06-30T00:00:00.000Z</x:v>
      </x:c>
      <x:c r="F131" s="212" t="str">
        <x:v>10-Q</x:v>
      </x:c>
      <x:c r="G131" s="235" t="d">
        <x:v>2026-08-10T00:00:00.000Z</x:v>
      </x:c>
      <x:c r="H131" s="212" t="str">
        <x:v>0001692819-26-000019</x:v>
      </x:c>
      <x:c r="I131" s="212"/>
      <x:c r="J131" s="212"/>
      <x:c r="K131" s="212" t="str">
        <x:v>[]</x:v>
      </x:c>
      <x:c r="L131" s="212"/>
      <x:c r="M131" s="212"/>
      <x:c r="N131" s="212" t="str">
        <x:v>https://www.sec.gov/Archives/edgar/data/1692819/000169281926000019/vistra-20260630.htm</x:v>
      </x:c>
      <x:c r="O131" s="212" t="str">
        <x:v>10-Q balance sheet, p. 2; Note 12, p. 20</x:v>
      </x:c>
      <x:c r="P131" s="212" t="str">
        <x:v>Latest-date lease liabilities Unavailable; no checked amount in the 10-Q.</x:v>
      </x:c>
      <x:c r="Q131" s="212" t="str"/>
      <x:c r="R131" s="16" t="str">
        <x:v>Unavailable; no numeric fact established</x:v>
      </x:c>
    </x:row>
    <x:row r="132" ht="78" customHeight="1">
      <x:c r="A132" s="25" t="str">
        <x:v>Operating lease liabilities — current</x:v>
      </x:c>
      <x:c r="B132" s="234" t="n">
        <x:v>13000000</x:v>
      </x:c>
      <x:c r="C132" s="212" t="str">
        <x:v>Operating lease liabilities — current</x:v>
      </x:c>
      <x:c r="D132" s="212"/>
      <x:c r="E132" s="235" t="d">
        <x:v>2025-12-31T00:00:00.000Z</x:v>
      </x:c>
      <x:c r="F132" s="212" t="str">
        <x:v>10-K</x:v>
      </x:c>
      <x:c r="G132" s="235" t="d">
        <x:v>2026-02-27T00:00:00.000Z</x:v>
      </x:c>
      <x:c r="H132" s="212" t="str">
        <x:v>0001692819-26-000006</x:v>
      </x:c>
      <x:c r="I132" s="212" t="str">
        <x:v>us-gaap:OperatingLeaseLiabilityCurrent</x:v>
      </x:c>
      <x:c r="J132" s="212" t="str">
        <x:v>c-7</x:v>
      </x:c>
      <x:c r="K132" s="212" t="str">
        <x:v>[]</x:v>
      </x:c>
      <x:c r="L132" s="212" t="n">
        <x:v>6</x:v>
      </x:c>
      <x:c r="M132" s="212" t="str">
        <x:v>-6</x:v>
      </x:c>
      <x:c r="N132" s="212" t="str">
        <x:v>https://www.sec.gov/Archives/edgar/data/1692819/000169281926000006/vistra-20251231.htm</x:v>
      </x:c>
      <x:c r="O132" s="212" t="str">
        <x:v>10-K lease note, pp. 122–123</x:v>
      </x:c>
      <x:c r="P132" s="212" t="str"/>
      <x:c r="Q132" s="212" t="str">
        <x:v>42e6a0ba0c833ede7d9d452b9f1ea68fbc4cb52035129ab5d5e02916e02822d4</x:v>
      </x:c>
      <x:c r="R132" s="16" t="str">
        <x:v>USD; exact checked instant</x:v>
      </x:c>
    </x:row>
    <x:row r="133" ht="78" customHeight="1">
      <x:c r="A133" s="25" t="str">
        <x:v>Operating lease liabilities — noncurrent</x:v>
      </x:c>
      <x:c r="B133" s="234" t="n">
        <x:v>92000000</x:v>
      </x:c>
      <x:c r="C133" s="212" t="str">
        <x:v>Operating lease liabilities — noncurrent</x:v>
      </x:c>
      <x:c r="D133" s="212"/>
      <x:c r="E133" s="235" t="d">
        <x:v>2025-12-31T00:00:00.000Z</x:v>
      </x:c>
      <x:c r="F133" s="212" t="str">
        <x:v>10-K</x:v>
      </x:c>
      <x:c r="G133" s="235" t="d">
        <x:v>2026-02-27T00:00:00.000Z</x:v>
      </x:c>
      <x:c r="H133" s="212" t="str">
        <x:v>0001692819-26-000006</x:v>
      </x:c>
      <x:c r="I133" s="212" t="str">
        <x:v>us-gaap:OperatingLeaseLiabilityNoncurrent</x:v>
      </x:c>
      <x:c r="J133" s="212" t="str">
        <x:v>c-7</x:v>
      </x:c>
      <x:c r="K133" s="212" t="str">
        <x:v>[]</x:v>
      </x:c>
      <x:c r="L133" s="212" t="n">
        <x:v>6</x:v>
      </x:c>
      <x:c r="M133" s="212" t="str">
        <x:v>-6</x:v>
      </x:c>
      <x:c r="N133" s="212" t="str">
        <x:v>https://www.sec.gov/Archives/edgar/data/1692819/000169281926000006/vistra-20251231.htm</x:v>
      </x:c>
      <x:c r="O133" s="212" t="str">
        <x:v>10-K lease note, pp. 122–123</x:v>
      </x:c>
      <x:c r="P133" s="212" t="str"/>
      <x:c r="Q133" s="212" t="str">
        <x:v>42e6a0ba0c833ede7d9d452b9f1ea68fbc4cb52035129ab5d5e02916e02822d4</x:v>
      </x:c>
      <x:c r="R133" s="16" t="str">
        <x:v>USD; exact checked instant</x:v>
      </x:c>
    </x:row>
    <x:row r="134" ht="78" customHeight="1">
      <x:c r="A134" s="25" t="str">
        <x:v>Operating lease liabilities — reported total control</x:v>
      </x:c>
      <x:c r="B134" s="234" t="n">
        <x:v>105000000</x:v>
      </x:c>
      <x:c r="C134" s="212" t="str">
        <x:v>Operating lease liabilities — reported total control</x:v>
      </x:c>
      <x:c r="D134" s="212"/>
      <x:c r="E134" s="235" t="d">
        <x:v>2025-12-31T00:00:00.000Z</x:v>
      </x:c>
      <x:c r="F134" s="212" t="str">
        <x:v>10-K</x:v>
      </x:c>
      <x:c r="G134" s="235" t="d">
        <x:v>2026-02-27T00:00:00.000Z</x:v>
      </x:c>
      <x:c r="H134" s="212" t="str">
        <x:v>0001692819-26-000006</x:v>
      </x:c>
      <x:c r="I134" s="212" t="str">
        <x:v>us-gaap:OperatingLeaseLiability</x:v>
      </x:c>
      <x:c r="J134" s="212" t="str">
        <x:v>c-7</x:v>
      </x:c>
      <x:c r="K134" s="212" t="str">
        <x:v>[]</x:v>
      </x:c>
      <x:c r="L134" s="212" t="n">
        <x:v>6</x:v>
      </x:c>
      <x:c r="M134" s="212" t="str">
        <x:v>-6</x:v>
      </x:c>
      <x:c r="N134" s="212" t="str">
        <x:v>https://www.sec.gov/Archives/edgar/data/1692819/000169281926000006/vistra-20251231.htm</x:v>
      </x:c>
      <x:c r="O134" s="212" t="str">
        <x:v>10-K lease note, pp. 122–123</x:v>
      </x:c>
      <x:c r="P134" s="212" t="str"/>
      <x:c r="Q134" s="212" t="str">
        <x:v>42e6a0ba0c833ede7d9d452b9f1ea68fbc4cb52035129ab5d5e02916e02822d4</x:v>
      </x:c>
      <x:c r="R134" s="16" t="str">
        <x:v>USD; exact checked instant</x:v>
      </x:c>
    </x:row>
    <x:row r="135" ht="78" customHeight="1">
      <x:c r="A135" s="25" t="str">
        <x:v>Finance lease liabilities — current</x:v>
      </x:c>
      <x:c r="B135" s="234" t="n">
        <x:v>4000000</x:v>
      </x:c>
      <x:c r="C135" s="212" t="str">
        <x:v>Finance lease liabilities — current</x:v>
      </x:c>
      <x:c r="D135" s="212"/>
      <x:c r="E135" s="235" t="d">
        <x:v>2025-12-31T00:00:00.000Z</x:v>
      </x:c>
      <x:c r="F135" s="212" t="str">
        <x:v>10-K</x:v>
      </x:c>
      <x:c r="G135" s="235" t="d">
        <x:v>2026-02-27T00:00:00.000Z</x:v>
      </x:c>
      <x:c r="H135" s="212" t="str">
        <x:v>0001692819-26-000006</x:v>
      </x:c>
      <x:c r="I135" s="212" t="str">
        <x:v>us-gaap:FinanceLeaseLiabilityCurrent</x:v>
      </x:c>
      <x:c r="J135" s="212" t="str">
        <x:v>c-7</x:v>
      </x:c>
      <x:c r="K135" s="212" t="str">
        <x:v>[]</x:v>
      </x:c>
      <x:c r="L135" s="212" t="n">
        <x:v>6</x:v>
      </x:c>
      <x:c r="M135" s="212" t="str">
        <x:v>-6</x:v>
      </x:c>
      <x:c r="N135" s="212" t="str">
        <x:v>https://www.sec.gov/Archives/edgar/data/1692819/000169281926000006/vistra-20251231.htm</x:v>
      </x:c>
      <x:c r="O135" s="212" t="str">
        <x:v>10-K lease note, pp. 122–123</x:v>
      </x:c>
      <x:c r="P135" s="212" t="str"/>
      <x:c r="Q135" s="212" t="str">
        <x:v>42e6a0ba0c833ede7d9d452b9f1ea68fbc4cb52035129ab5d5e02916e02822d4</x:v>
      </x:c>
      <x:c r="R135" s="16" t="str">
        <x:v>USD; exact checked instant</x:v>
      </x:c>
    </x:row>
    <x:row r="136" ht="78" customHeight="1">
      <x:c r="A136" s="25" t="str">
        <x:v>Finance lease liabilities — noncurrent</x:v>
      </x:c>
      <x:c r="B136" s="234" t="n">
        <x:v>218000000</x:v>
      </x:c>
      <x:c r="C136" s="212" t="str">
        <x:v>Finance lease liabilities — noncurrent</x:v>
      </x:c>
      <x:c r="D136" s="212"/>
      <x:c r="E136" s="235" t="d">
        <x:v>2025-12-31T00:00:00.000Z</x:v>
      </x:c>
      <x:c r="F136" s="212" t="str">
        <x:v>10-K</x:v>
      </x:c>
      <x:c r="G136" s="235" t="d">
        <x:v>2026-02-27T00:00:00.000Z</x:v>
      </x:c>
      <x:c r="H136" s="212" t="str">
        <x:v>0001692819-26-000006</x:v>
      </x:c>
      <x:c r="I136" s="212" t="str">
        <x:v>us-gaap:FinanceLeaseLiabilityNoncurrent</x:v>
      </x:c>
      <x:c r="J136" s="212" t="str">
        <x:v>c-7</x:v>
      </x:c>
      <x:c r="K136" s="212" t="str">
        <x:v>[]</x:v>
      </x:c>
      <x:c r="L136" s="212" t="n">
        <x:v>6</x:v>
      </x:c>
      <x:c r="M136" s="212" t="str">
        <x:v>-6</x:v>
      </x:c>
      <x:c r="N136" s="212" t="str">
        <x:v>https://www.sec.gov/Archives/edgar/data/1692819/000169281926000006/vistra-20251231.htm</x:v>
      </x:c>
      <x:c r="O136" s="212" t="str">
        <x:v>10-K lease note, pp. 122–123</x:v>
      </x:c>
      <x:c r="P136" s="212" t="str"/>
      <x:c r="Q136" s="212" t="str">
        <x:v>42e6a0ba0c833ede7d9d452b9f1ea68fbc4cb52035129ab5d5e02916e02822d4</x:v>
      </x:c>
      <x:c r="R136" s="16" t="str">
        <x:v>USD; exact checked instant</x:v>
      </x:c>
    </x:row>
    <x:row r="137" ht="78" customHeight="1">
      <x:c r="A137" s="25" t="str">
        <x:v>Finance lease liabilities — reported total control</x:v>
      </x:c>
      <x:c r="B137" s="234" t="n">
        <x:v>222000000</x:v>
      </x:c>
      <x:c r="C137" s="212" t="str">
        <x:v>Finance lease liabilities — reported total control</x:v>
      </x:c>
      <x:c r="D137" s="212"/>
      <x:c r="E137" s="235" t="d">
        <x:v>2025-12-31T00:00:00.000Z</x:v>
      </x:c>
      <x:c r="F137" s="212" t="str">
        <x:v>10-K</x:v>
      </x:c>
      <x:c r="G137" s="235" t="d">
        <x:v>2026-02-27T00:00:00.000Z</x:v>
      </x:c>
      <x:c r="H137" s="212" t="str">
        <x:v>0001692819-26-000006</x:v>
      </x:c>
      <x:c r="I137" s="212" t="str">
        <x:v>us-gaap:FinanceLeaseLiability</x:v>
      </x:c>
      <x:c r="J137" s="212" t="str">
        <x:v>c-7</x:v>
      </x:c>
      <x:c r="K137" s="212" t="str">
        <x:v>[]</x:v>
      </x:c>
      <x:c r="L137" s="212" t="n">
        <x:v>6</x:v>
      </x:c>
      <x:c r="M137" s="212" t="str">
        <x:v>-6</x:v>
      </x:c>
      <x:c r="N137" s="212" t="str">
        <x:v>https://www.sec.gov/Archives/edgar/data/1692819/000169281926000006/vistra-20251231.htm</x:v>
      </x:c>
      <x:c r="O137" s="212" t="str">
        <x:v>10-K lease note, pp. 122–123</x:v>
      </x:c>
      <x:c r="P137" s="212" t="str"/>
      <x:c r="Q137" s="212" t="str">
        <x:v>42e6a0ba0c833ede7d9d452b9f1ea68fbc4cb52035129ab5d5e02916e02822d4</x:v>
      </x:c>
      <x:c r="R137" s="16" t="str">
        <x:v>USD; exact checked instant</x:v>
      </x:c>
    </x:row>
    <x:row r="138" ht="78" customHeight="1">
      <x:c r="A138" s="26" t="str">
        <x:v>Leases not yet commenced — Unavailable</x:v>
      </x:c>
      <x:c r="B138" s="236"/>
      <x:c r="C138" s="213" t="str">
        <x:v>Leases not yet commenced — Unavailable</x:v>
      </x:c>
      <x:c r="D138" s="213"/>
      <x:c r="E138" s="237" t="d">
        <x:v>2026-06-30T00:00:00.000Z</x:v>
      </x:c>
      <x:c r="F138" s="213" t="str">
        <x:v>10-Q</x:v>
      </x:c>
      <x:c r="G138" s="237" t="d">
        <x:v>2026-08-10T00:00:00.000Z</x:v>
      </x:c>
      <x:c r="H138" s="213" t="str">
        <x:v>0001692819-26-000019</x:v>
      </x:c>
      <x:c r="I138" s="213"/>
      <x:c r="J138" s="213"/>
      <x:c r="K138" s="213" t="str">
        <x:v>[]</x:v>
      </x:c>
      <x:c r="L138" s="213"/>
      <x:c r="M138" s="213"/>
      <x:c r="N138" s="213" t="str">
        <x:v>https://www.sec.gov/Archives/edgar/data/1692819/000169281926000019/vistra-20260630.htm</x:v>
      </x:c>
      <x:c r="O138" s="213" t="str">
        <x:v>Saved pilot evidence; 10-Q review</x:v>
      </x:c>
      <x:c r="P138" s="213" t="str">
        <x:v>No checked amount for leases not yet commenced is established in the saved pilot evidence. Unavailable does not mean zero.</x:v>
      </x:c>
      <x:c r="Q138" s="213" t="str"/>
      <x:c r="R138" s="18" t="str">
        <x:v>Unavailable; no numeric fact established</x:v>
      </x:c>
    </x:row>
    <x:row r="141" ht="86" customHeight="1">
      <x:c r="A141" s="13" t="str">
        <x:v>Input</x:v>
      </x:c>
      <x:c r="B141" s="226" t="str">
        <x:v>USD, displayed millions</x:v>
      </x:c>
      <x:c r="C141" s="226" t="str">
        <x:v>Description</x:v>
      </x:c>
      <x:c r="D141" s="226" t="str">
        <x:v>Period from</x:v>
      </x:c>
      <x:c r="E141" s="226" t="str">
        <x:v>Period through</x:v>
      </x:c>
      <x:c r="F141" s="226" t="str">
        <x:v>Form</x:v>
      </x:c>
      <x:c r="G141" s="226" t="str">
        <x:v>Filed</x:v>
      </x:c>
      <x:c r="H141" s="226" t="str">
        <x:v>Accession</x:v>
      </x:c>
      <x:c r="I141" s="226" t="str">
        <x:v>Tag</x:v>
      </x:c>
      <x:c r="J141" s="226" t="str">
        <x:v>Context</x:v>
      </x:c>
      <x:c r="K141" s="226" t="str">
        <x:v>Dimensions</x:v>
      </x:c>
      <x:c r="L141" s="226" t="str">
        <x:v>Scale</x:v>
      </x:c>
      <x:c r="M141" s="226" t="str">
        <x:v>Decimals</x:v>
      </x:c>
      <x:c r="N141" s="226" t="str">
        <x:v>Source</x:v>
      </x:c>
      <x:c r="O141" s="226" t="str">
        <x:v>Location</x:v>
      </x:c>
      <x:c r="P141" s="226" t="str">
        <x:v>Reason if unavailable</x:v>
      </x:c>
      <x:c r="Q141" s="226" t="str">
        <x:v>Reviewed source SHA256</x:v>
      </x:c>
      <x:c r="R141" s="14" t="str">
        <x:v>Unit and selection rule</x:v>
      </x:c>
    </x:row>
    <x:row r="142" ht="86" customHeight="1">
      <x:c r="A142" s="25" t="str">
        <x:v>Ratio input: Cash and cash equivalents</x:v>
      </x:c>
      <x:c r="B142" s="234" t="n">
        <x:v>435000000</x:v>
      </x:c>
      <x:c r="C142" s="212" t="str">
        <x:v>Cash and cash equivalents</x:v>
      </x:c>
      <x:c r="D142" s="235"/>
      <x:c r="E142" s="235" t="d">
        <x:v>2026-06-30T00:00:00.000Z</x:v>
      </x:c>
      <x:c r="F142" s="212" t="str">
        <x:v>10-Q</x:v>
      </x:c>
      <x:c r="G142" s="235" t="d">
        <x:v>2026-08-10T00:00:00.000Z</x:v>
      </x:c>
      <x:c r="H142" s="212" t="str">
        <x:v>0001692819-26-000019</x:v>
      </x:c>
      <x:c r="I142" s="212" t="str">
        <x:v>us-gaap:CashAndCashEquivalentsAtCarryingValue</x:v>
      </x:c>
      <x:c r="J142" s="212"/>
      <x:c r="K142" s="212" t="str">
        <x:v>[]</x:v>
      </x:c>
      <x:c r="L142" s="212"/>
      <x:c r="M142" s="212"/>
      <x:c r="N142" s="212" t="str">
        <x:v>https://www.sec.gov/Archives/edgar/data/1692819/000169281926000019/vistra-20260630.htm</x:v>
      </x:c>
      <x:c r="O142" s="212" t="str">
        <x:v>Checked balance sheet / cash-flow statement</x:v>
      </x:c>
      <x:c r="P142" s="212" t="str">
        <x:v>USD instant at the balance-sheet date, from the latest original 10-K or 10-Q itself</x:v>
      </x:c>
      <x:c r="Q142" s="212"/>
      <x:c r="R142" s="16" t="str">
        <x:v>USD</x:v>
      </x:c>
    </x:row>
    <x:row r="143" ht="86" customHeight="1">
      <x:c r="A143" s="25" t="str">
        <x:v>Ratio input: Long-term debt due currently</x:v>
      </x:c>
      <x:c r="B143" s="234" t="n">
        <x:v>1876000000</x:v>
      </x:c>
      <x:c r="C143" s="212" t="str">
        <x:v>Long-term debt due currently</x:v>
      </x:c>
      <x:c r="D143" s="235"/>
      <x:c r="E143" s="235" t="d">
        <x:v>2026-06-30T00:00:00.000Z</x:v>
      </x:c>
      <x:c r="F143" s="212" t="str">
        <x:v>10-Q</x:v>
      </x:c>
      <x:c r="G143" s="235" t="d">
        <x:v>2026-08-10T00:00:00.000Z</x:v>
      </x:c>
      <x:c r="H143" s="212" t="str">
        <x:v>0001692819-26-000019</x:v>
      </x:c>
      <x:c r="I143" s="212" t="str">
        <x:v>us-gaap:LongTermDebtAndCapitalLeaseObligationsCurrent</x:v>
      </x:c>
      <x:c r="J143" s="212"/>
      <x:c r="K143" s="212" t="str">
        <x:v>[]</x:v>
      </x:c>
      <x:c r="L143" s="212"/>
      <x:c r="M143" s="212"/>
      <x:c r="N143" s="212" t="str">
        <x:v>https://www.sec.gov/Archives/edgar/data/1692819/000169281926000019/vistra-20260630.htm</x:v>
      </x:c>
      <x:c r="O143" s="212" t="str">
        <x:v>Checked balance sheet / cash-flow statement</x:v>
      </x:c>
      <x:c r="P143" s="212" t="str">
        <x:v>USD instant at the balance-sheet date, from the latest original 10-K or 10-Q itself</x:v>
      </x:c>
      <x:c r="Q143" s="212"/>
      <x:c r="R143" s="16" t="str">
        <x:v>USD</x:v>
      </x:c>
    </x:row>
    <x:row r="144" ht="86" customHeight="1">
      <x:c r="A144" s="25" t="str">
        <x:v>Ratio input: Long-term debt, less amounts due currently</x:v>
      </x:c>
      <x:c r="B144" s="234" t="n">
        <x:v>17719000000</x:v>
      </x:c>
      <x:c r="C144" s="212" t="str">
        <x:v>Long-term debt, less amounts due currently</x:v>
      </x:c>
      <x:c r="D144" s="235"/>
      <x:c r="E144" s="235" t="d">
        <x:v>2026-06-30T00:00:00.000Z</x:v>
      </x:c>
      <x:c r="F144" s="212" t="str">
        <x:v>10-Q</x:v>
      </x:c>
      <x:c r="G144" s="235" t="d">
        <x:v>2026-08-10T00:00:00.000Z</x:v>
      </x:c>
      <x:c r="H144" s="212" t="str">
        <x:v>0001692819-26-000019</x:v>
      </x:c>
      <x:c r="I144" s="212" t="str">
        <x:v>us-gaap:LongTermDebtAndCapitalLeaseObligations</x:v>
      </x:c>
      <x:c r="J144" s="212"/>
      <x:c r="K144" s="212" t="str">
        <x:v>[]</x:v>
      </x:c>
      <x:c r="L144" s="212"/>
      <x:c r="M144" s="212"/>
      <x:c r="N144" s="212" t="str">
        <x:v>https://www.sec.gov/Archives/edgar/data/1692819/000169281926000019/vistra-20260630.htm</x:v>
      </x:c>
      <x:c r="O144" s="212" t="str">
        <x:v>Checked balance sheet / cash-flow statement</x:v>
      </x:c>
      <x:c r="P144" s="212" t="str">
        <x:v>USD instant at the balance-sheet date, from the latest original 10-K or 10-Q itself</x:v>
      </x:c>
      <x:c r="Q144" s="212"/>
      <x:c r="R144" s="16" t="str">
        <x:v>USD</x:v>
      </x:c>
    </x:row>
    <x:row r="145" ht="86" customHeight="1">
      <x:c r="A145" s="25" t="str">
        <x:v>Ratio input: Short-term borrowings</x:v>
      </x:c>
      <x:c r="B145" s="234" t="n">
        <x:v>0</x:v>
      </x:c>
      <x:c r="C145" s="212" t="str">
        <x:v>Short-term borrowings</x:v>
      </x:c>
      <x:c r="D145" s="235"/>
      <x:c r="E145" s="235" t="d">
        <x:v>2026-06-30T00:00:00.000Z</x:v>
      </x:c>
      <x:c r="F145" s="212" t="str">
        <x:v>10-Q</x:v>
      </x:c>
      <x:c r="G145" s="235" t="d">
        <x:v>2026-08-10T00:00:00.000Z</x:v>
      </x:c>
      <x:c r="H145" s="212" t="str">
        <x:v>0001692819-26-000019</x:v>
      </x:c>
      <x:c r="I145" s="212" t="str">
        <x:v>us-gaap:ShortTermBorrowings</x:v>
      </x:c>
      <x:c r="J145" s="212"/>
      <x:c r="K145" s="212" t="str">
        <x:v>[]</x:v>
      </x:c>
      <x:c r="L145" s="212"/>
      <x:c r="M145" s="212"/>
      <x:c r="N145" s="212" t="str">
        <x:v>https://www.sec.gov/Archives/edgar/data/1692819/000169281926000019/vistra-20260630.htm</x:v>
      </x:c>
      <x:c r="O145" s="212" t="str">
        <x:v>Checked balance sheet / cash-flow statement</x:v>
      </x:c>
      <x:c r="P145" s="212" t="str">
        <x:v>USD instant at the balance-sheet date, from the latest original 10-K or 10-Q itself</x:v>
      </x:c>
      <x:c r="Q145" s="212"/>
      <x:c r="R145" s="16" t="str">
        <x:v>USD</x:v>
      </x:c>
    </x:row>
    <x:row r="146" ht="86" customHeight="1">
      <x:c r="A146" s="25" t="str">
        <x:v>Ratio input: Accounts receivable financing</x:v>
      </x:c>
      <x:c r="B146" s="234" t="n">
        <x:v>300000000</x:v>
      </x:c>
      <x:c r="C146" s="212" t="str">
        <x:v>Accounts receivable financing</x:v>
      </x:c>
      <x:c r="D146" s="235"/>
      <x:c r="E146" s="235" t="d">
        <x:v>2026-06-30T00:00:00.000Z</x:v>
      </x:c>
      <x:c r="F146" s="212" t="str">
        <x:v>10-Q</x:v>
      </x:c>
      <x:c r="G146" s="235" t="d">
        <x:v>2026-08-10T00:00:00.000Z</x:v>
      </x:c>
      <x:c r="H146" s="212" t="str">
        <x:v>0001692819-26-000019</x:v>
      </x:c>
      <x:c r="I146" s="212" t="str">
        <x:v>vistra:AccountsReceivableSecuritizationProgramAmountsBorrowed</x:v>
      </x:c>
      <x:c r="J146" s="212" t="str">
        <x:v>c-8</x:v>
      </x:c>
      <x:c r="K146" s="212" t="str">
        <x:v>[]</x:v>
      </x:c>
      <x:c r="L146" s="212" t="n">
        <x:v>6</x:v>
      </x:c>
      <x:c r="M146" s="212" t="str">
        <x:v>-6</x:v>
      </x:c>
      <x:c r="N146" s="212" t="str">
        <x:v>https://www.sec.gov/Archives/edgar/data/1692819/000169281926000019/vistra-20260630.htm</x:v>
      </x:c>
      <x:c r="O146" s="212" t="str">
        <x:v>Checked balance sheet / cash-flow statement</x:v>
      </x:c>
      <x:c r="P146" s="212" t="str">
        <x:v>USD instant at the balance-sheet date in the checked filing document, no dimensions</x:v>
      </x:c>
      <x:c r="Q146" s="212"/>
      <x:c r="R146" s="16" t="str">
        <x:v>USD</x:v>
      </x:c>
    </x:row>
    <x:row r="147" ht="86" customHeight="1">
      <x:c r="A147" s="25" t="str">
        <x:v>Ratio input: Current liabilities</x:v>
      </x:c>
      <x:c r="B147" s="234" t="n">
        <x:v>10557000000</x:v>
      </x:c>
      <x:c r="C147" s="212" t="str">
        <x:v>Current liabilities</x:v>
      </x:c>
      <x:c r="D147" s="235"/>
      <x:c r="E147" s="235" t="d">
        <x:v>2026-06-30T00:00:00.000Z</x:v>
      </x:c>
      <x:c r="F147" s="212" t="str">
        <x:v>10-Q</x:v>
      </x:c>
      <x:c r="G147" s="235" t="d">
        <x:v>2026-08-10T00:00:00.000Z</x:v>
      </x:c>
      <x:c r="H147" s="212" t="str">
        <x:v>0001692819-26-000019</x:v>
      </x:c>
      <x:c r="I147" s="212" t="str">
        <x:v>us-gaap:LiabilitiesCurrent</x:v>
      </x:c>
      <x:c r="J147" s="212"/>
      <x:c r="K147" s="212" t="str">
        <x:v>[]</x:v>
      </x:c>
      <x:c r="L147" s="212"/>
      <x:c r="M147" s="212"/>
      <x:c r="N147" s="212" t="str">
        <x:v>https://www.sec.gov/Archives/edgar/data/1692819/000169281926000019/vistra-20260630.htm</x:v>
      </x:c>
      <x:c r="O147" s="212" t="str">
        <x:v>Checked balance sheet / cash-flow statement</x:v>
      </x:c>
      <x:c r="P147" s="212" t="str">
        <x:v>USD instant at the balance-sheet date, from the latest original 10-K or 10-Q itself</x:v>
      </x:c>
      <x:c r="Q147" s="212"/>
      <x:c r="R147" s="16" t="str">
        <x:v>USD</x:v>
      </x:c>
    </x:row>
    <x:row r="148" ht="86" customHeight="1">
      <x:c r="A148" s="25" t="str">
        <x:v>Ratio input: Current assets</x:v>
      </x:c>
      <x:c r="B148" s="234" t="n">
        <x:v>10276000000</x:v>
      </x:c>
      <x:c r="C148" s="212" t="str">
        <x:v>Current assets</x:v>
      </x:c>
      <x:c r="D148" s="235"/>
      <x:c r="E148" s="235" t="d">
        <x:v>2026-06-30T00:00:00.000Z</x:v>
      </x:c>
      <x:c r="F148" s="212" t="str">
        <x:v>10-Q</x:v>
      </x:c>
      <x:c r="G148" s="235" t="d">
        <x:v>2026-08-10T00:00:00.000Z</x:v>
      </x:c>
      <x:c r="H148" s="212" t="str">
        <x:v>0001692819-26-000019</x:v>
      </x:c>
      <x:c r="I148" s="212" t="str">
        <x:v>us-gaap:AssetsCurrent</x:v>
      </x:c>
      <x:c r="J148" s="212"/>
      <x:c r="K148" s="212" t="str">
        <x:v>[]</x:v>
      </x:c>
      <x:c r="L148" s="212"/>
      <x:c r="M148" s="212"/>
      <x:c r="N148" s="212" t="str">
        <x:v>https://www.sec.gov/Archives/edgar/data/1692819/000169281926000019/vistra-20260630.htm</x:v>
      </x:c>
      <x:c r="O148" s="212" t="str">
        <x:v>Checked balance sheet / cash-flow statement</x:v>
      </x:c>
      <x:c r="P148" s="212" t="str">
        <x:v>USD instant at the balance-sheet date, from the latest original 10-K or 10-Q itself</x:v>
      </x:c>
      <x:c r="Q148" s="212"/>
      <x:c r="R148" s="16" t="str">
        <x:v>USD</x:v>
      </x:c>
    </x:row>
    <x:row r="149" ht="86" customHeight="1">
      <x:c r="A149" s="25" t="str">
        <x:v>Ratio input: Operating cash flow · fiscal year</x:v>
      </x:c>
      <x:c r="B149" s="234" t="n">
        <x:v>4070000000</x:v>
      </x:c>
      <x:c r="C149" s="212" t="str">
        <x:v>Operating cash flow · fiscal year</x:v>
      </x:c>
      <x:c r="D149" s="235" t="d">
        <x:v>2025-01-01T00:00:00.000Z</x:v>
      </x:c>
      <x:c r="E149" s="235" t="d">
        <x:v>2025-12-31T00:00:00.000Z</x:v>
      </x:c>
      <x:c r="F149" s="212" t="str">
        <x:v>10-K</x:v>
      </x:c>
      <x:c r="G149" s="235" t="d">
        <x:v>2026-02-27T00:00:00.000Z</x:v>
      </x:c>
      <x:c r="H149" s="212" t="str">
        <x:v>0001692819-26-000006</x:v>
      </x:c>
      <x:c r="I149" s="212" t="str">
        <x:v>us-gaap:NetCashProvidedByUsedInOperatingActivities</x:v>
      </x:c>
      <x:c r="J149" s="212" t="str">
        <x:v>c-1</x:v>
      </x:c>
      <x:c r="K149" s="212" t="str">
        <x:v>[]</x:v>
      </x:c>
      <x:c r="L149" s="212" t="n">
        <x:v>6</x:v>
      </x:c>
      <x:c r="M149" s="212" t="str">
        <x:v>-6</x:v>
      </x:c>
      <x:c r="N149" s="212" t="str">
        <x:v>https://www.sec.gov/Archives/edgar/data/1692819/000169281926000006/vistra-20251231.htm</x:v>
      </x:c>
      <x:c r="O149" s="212" t="str">
        <x:v>Checked balance sheet / cash-flow statement</x:v>
      </x:c>
      <x:c r="P149" s="212" t="str">
        <x:v>Exact tag, USD duration, exact start and end dates, no dimensions</x:v>
      </x:c>
      <x:c r="Q149" s="212"/>
      <x:c r="R149" s="16" t="str">
        <x:v>USD</x:v>
      </x:c>
    </x:row>
    <x:row r="150" ht="86" customHeight="1">
      <x:c r="A150" s="25" t="str">
        <x:v>Ratio input: Operating cash flow · current year to date</x:v>
      </x:c>
      <x:c r="B150" s="234" t="n">
        <x:v>2222000000</x:v>
      </x:c>
      <x:c r="C150" s="212" t="str">
        <x:v>Operating cash flow · current year to date</x:v>
      </x:c>
      <x:c r="D150" s="235" t="d">
        <x:v>2026-01-01T00:00:00.000Z</x:v>
      </x:c>
      <x:c r="E150" s="235" t="d">
        <x:v>2026-06-30T00:00:00.000Z</x:v>
      </x:c>
      <x:c r="F150" s="212" t="str">
        <x:v>10-Q</x:v>
      </x:c>
      <x:c r="G150" s="235" t="d">
        <x:v>2026-08-10T00:00:00.000Z</x:v>
      </x:c>
      <x:c r="H150" s="212" t="str">
        <x:v>0001692819-26-000019</x:v>
      </x:c>
      <x:c r="I150" s="212" t="str">
        <x:v>us-gaap:NetCashProvidedByUsedInOperatingActivities</x:v>
      </x:c>
      <x:c r="J150" s="212" t="str">
        <x:v>c-1</x:v>
      </x:c>
      <x:c r="K150" s="212" t="str">
        <x:v>[]</x:v>
      </x:c>
      <x:c r="L150" s="212" t="n">
        <x:v>6</x:v>
      </x:c>
      <x:c r="M150" s="212" t="str">
        <x:v>-6</x:v>
      </x:c>
      <x:c r="N150" s="212" t="str">
        <x:v>https://www.sec.gov/Archives/edgar/data/1692819/000169281926000019/vistra-20260630.htm</x:v>
      </x:c>
      <x:c r="O150" s="212" t="str">
        <x:v>Checked balance sheet / cash-flow statement</x:v>
      </x:c>
      <x:c r="P150" s="212" t="str">
        <x:v>Exact tag, USD duration, exact start and end dates, no dimensions</x:v>
      </x:c>
      <x:c r="Q150" s="212"/>
      <x:c r="R150" s="16" t="str">
        <x:v>USD</x:v>
      </x:c>
    </x:row>
    <x:row r="151" ht="86" customHeight="1">
      <x:c r="A151" s="25" t="str">
        <x:v>Ratio input: Operating cash flow · prior year to date</x:v>
      </x:c>
      <x:c r="B151" s="234" t="n">
        <x:v>1171000000</x:v>
      </x:c>
      <x:c r="C151" s="212" t="str">
        <x:v>Operating cash flow · prior year to date</x:v>
      </x:c>
      <x:c r="D151" s="235" t="d">
        <x:v>2025-01-01T00:00:00.000Z</x:v>
      </x:c>
      <x:c r="E151" s="235" t="d">
        <x:v>2025-06-30T00:00:00.000Z</x:v>
      </x:c>
      <x:c r="F151" s="212" t="str">
        <x:v>10-Q</x:v>
      </x:c>
      <x:c r="G151" s="235" t="d">
        <x:v>2026-08-10T00:00:00.000Z</x:v>
      </x:c>
      <x:c r="H151" s="212" t="str">
        <x:v>0001692819-26-000019</x:v>
      </x:c>
      <x:c r="I151" s="212" t="str">
        <x:v>us-gaap:NetCashProvidedByUsedInOperatingActivities</x:v>
      </x:c>
      <x:c r="J151" s="212" t="str">
        <x:v>c-7</x:v>
      </x:c>
      <x:c r="K151" s="212" t="str">
        <x:v>[]</x:v>
      </x:c>
      <x:c r="L151" s="212" t="n">
        <x:v>6</x:v>
      </x:c>
      <x:c r="M151" s="212" t="str">
        <x:v>-6</x:v>
      </x:c>
      <x:c r="N151" s="212" t="str">
        <x:v>https://www.sec.gov/Archives/edgar/data/1692819/000169281926000019/vistra-20260630.htm</x:v>
      </x:c>
      <x:c r="O151" s="212" t="str">
        <x:v>Checked balance sheet / cash-flow statement</x:v>
      </x:c>
      <x:c r="P151" s="212" t="str">
        <x:v>Exact tag, USD duration, exact start and end dates, no dimensions</x:v>
      </x:c>
      <x:c r="Q151" s="212"/>
      <x:c r="R151" s="16" t="str">
        <x:v>USD</x:v>
      </x:c>
    </x:row>
    <x:row r="152" ht="86" customHeight="1">
      <x:c r="A152" s="25" t="str">
        <x:v>Ratio input: Capital expenditures, including nuclear fuel and LTSA prepayments · fiscal year</x:v>
      </x:c>
      <x:c r="B152" s="234" t="n">
        <x:v>2752000000</x:v>
      </x:c>
      <x:c r="C152" s="212" t="str">
        <x:v>Capital expenditures, including nuclear fuel and LTSA prepayments · fiscal year</x:v>
      </x:c>
      <x:c r="D152" s="235" t="d">
        <x:v>2025-01-01T00:00:00.000Z</x:v>
      </x:c>
      <x:c r="E152" s="235" t="d">
        <x:v>2025-12-31T00:00:00.000Z</x:v>
      </x:c>
      <x:c r="F152" s="212" t="str">
        <x:v>10-K</x:v>
      </x:c>
      <x:c r="G152" s="235" t="d">
        <x:v>2026-02-27T00:00:00.000Z</x:v>
      </x:c>
      <x:c r="H152" s="212" t="str">
        <x:v>0001692819-26-000006</x:v>
      </x:c>
      <x:c r="I152" s="212" t="str">
        <x:v>us-gaap:PaymentsToAcquirePropertyPlantAndEquipment</x:v>
      </x:c>
      <x:c r="J152" s="212" t="str">
        <x:v>c-1</x:v>
      </x:c>
      <x:c r="K152" s="212" t="str">
        <x:v>[]</x:v>
      </x:c>
      <x:c r="L152" s="212" t="n">
        <x:v>6</x:v>
      </x:c>
      <x:c r="M152" s="212" t="str">
        <x:v>-6</x:v>
      </x:c>
      <x:c r="N152" s="212" t="str">
        <x:v>https://www.sec.gov/Archives/edgar/data/1692819/000169281926000006/vistra-20251231.htm</x:v>
      </x:c>
      <x:c r="O152" s="212" t="str">
        <x:v>Checked balance sheet / cash-flow statement</x:v>
      </x:c>
      <x:c r="P152" s="212" t="str">
        <x:v>Exact tag, USD duration, exact start and end dates, no dimensions</x:v>
      </x:c>
      <x:c r="Q152" s="212"/>
      <x:c r="R152" s="16" t="str">
        <x:v>USD</x:v>
      </x:c>
    </x:row>
    <x:row r="153" ht="86" customHeight="1">
      <x:c r="A153" s="25" t="str">
        <x:v>Ratio input: Capital expenditures, including nuclear fuel and LTSA prepayments · current year to date</x:v>
      </x:c>
      <x:c r="B153" s="234" t="n">
        <x:v>1572000000</x:v>
      </x:c>
      <x:c r="C153" s="212" t="str">
        <x:v>Capital expenditures, including nuclear fuel and LTSA prepayments · current year to date</x:v>
      </x:c>
      <x:c r="D153" s="235" t="d">
        <x:v>2026-01-01T00:00:00.000Z</x:v>
      </x:c>
      <x:c r="E153" s="235" t="d">
        <x:v>2026-06-30T00:00:00.000Z</x:v>
      </x:c>
      <x:c r="F153" s="212" t="str">
        <x:v>10-Q</x:v>
      </x:c>
      <x:c r="G153" s="235" t="d">
        <x:v>2026-08-10T00:00:00.000Z</x:v>
      </x:c>
      <x:c r="H153" s="212" t="str">
        <x:v>0001692819-26-000019</x:v>
      </x:c>
      <x:c r="I153" s="212" t="str">
        <x:v>us-gaap:PaymentsToAcquirePropertyPlantAndEquipment</x:v>
      </x:c>
      <x:c r="J153" s="212" t="str">
        <x:v>c-1</x:v>
      </x:c>
      <x:c r="K153" s="212" t="str">
        <x:v>[]</x:v>
      </x:c>
      <x:c r="L153" s="212" t="n">
        <x:v>6</x:v>
      </x:c>
      <x:c r="M153" s="212" t="str">
        <x:v>-6</x:v>
      </x:c>
      <x:c r="N153" s="212" t="str">
        <x:v>https://www.sec.gov/Archives/edgar/data/1692819/000169281926000019/vistra-20260630.htm</x:v>
      </x:c>
      <x:c r="O153" s="212" t="str">
        <x:v>Checked balance sheet / cash-flow statement</x:v>
      </x:c>
      <x:c r="P153" s="212" t="str">
        <x:v>Exact tag, USD duration, exact start and end dates, no dimensions</x:v>
      </x:c>
      <x:c r="Q153" s="212"/>
      <x:c r="R153" s="16" t="str">
        <x:v>USD</x:v>
      </x:c>
    </x:row>
    <x:row r="154" ht="86" customHeight="1">
      <x:c r="A154" s="26" t="str">
        <x:v>Ratio input: Capital expenditures, including nuclear fuel and LTSA prepayments · prior year to date</x:v>
      </x:c>
      <x:c r="B154" s="236" t="n">
        <x:v>1458000000</x:v>
      </x:c>
      <x:c r="C154" s="213" t="str">
        <x:v>Capital expenditures, including nuclear fuel and LTSA prepayments · prior year to date</x:v>
      </x:c>
      <x:c r="D154" s="237" t="d">
        <x:v>2025-01-01T00:00:00.000Z</x:v>
      </x:c>
      <x:c r="E154" s="237" t="d">
        <x:v>2025-06-30T00:00:00.000Z</x:v>
      </x:c>
      <x:c r="F154" s="213" t="str">
        <x:v>10-Q</x:v>
      </x:c>
      <x:c r="G154" s="237" t="d">
        <x:v>2026-08-10T00:00:00.000Z</x:v>
      </x:c>
      <x:c r="H154" s="213" t="str">
        <x:v>0001692819-26-000019</x:v>
      </x:c>
      <x:c r="I154" s="213" t="str">
        <x:v>us-gaap:PaymentsToAcquirePropertyPlantAndEquipment</x:v>
      </x:c>
      <x:c r="J154" s="213" t="str">
        <x:v>c-7</x:v>
      </x:c>
      <x:c r="K154" s="213" t="str">
        <x:v>[]</x:v>
      </x:c>
      <x:c r="L154" s="213" t="n">
        <x:v>6</x:v>
      </x:c>
      <x:c r="M154" s="213" t="str">
        <x:v>-6</x:v>
      </x:c>
      <x:c r="N154" s="213" t="str">
        <x:v>https://www.sec.gov/Archives/edgar/data/1692819/000169281926000019/vistra-20260630.htm</x:v>
      </x:c>
      <x:c r="O154" s="213" t="str">
        <x:v>Checked balance sheet / cash-flow statement</x:v>
      </x:c>
      <x:c r="P154" s="213" t="str">
        <x:v>Exact tag, USD duration, exact start and end dates, no dimensions</x:v>
      </x:c>
      <x:c r="Q154" s="213"/>
      <x:c r="R154" s="18" t="str">
        <x:v>USD</x:v>
      </x:c>
    </x:row>
    <x:row r="157" ht="70" customHeight="1">
      <x:c r="A157" s="13" t="str">
        <x:v>Input</x:v>
      </x:c>
      <x:c r="B157" s="226" t="str">
        <x:v>USD, displayed millions</x:v>
      </x:c>
      <x:c r="C157" s="226" t="str">
        <x:v>Description</x:v>
      </x:c>
      <x:c r="D157" s="226" t="str">
        <x:v>Period from</x:v>
      </x:c>
      <x:c r="E157" s="226" t="str">
        <x:v>Period through</x:v>
      </x:c>
      <x:c r="F157" s="226" t="str">
        <x:v>Form</x:v>
      </x:c>
      <x:c r="G157" s="226" t="str">
        <x:v>Filed</x:v>
      </x:c>
      <x:c r="H157" s="226" t="str">
        <x:v>Accession</x:v>
      </x:c>
      <x:c r="I157" s="226" t="str">
        <x:v>Tag</x:v>
      </x:c>
      <x:c r="J157" s="226" t="str">
        <x:v>Context</x:v>
      </x:c>
      <x:c r="K157" s="226" t="str">
        <x:v>Dimensions</x:v>
      </x:c>
      <x:c r="L157" s="226" t="str">
        <x:v>Scale</x:v>
      </x:c>
      <x:c r="M157" s="226" t="str">
        <x:v>Decimals</x:v>
      </x:c>
      <x:c r="N157" s="226" t="str">
        <x:v>Source</x:v>
      </x:c>
      <x:c r="O157" s="226" t="str">
        <x:v>Location</x:v>
      </x:c>
      <x:c r="P157" s="226" t="str">
        <x:v>Reason if unavailable</x:v>
      </x:c>
      <x:c r="Q157" s="226" t="str">
        <x:v>Reviewed source SHA256</x:v>
      </x:c>
      <x:c r="R157" s="14" t="str">
        <x:v>Unit and selection rule</x:v>
      </x:c>
    </x:row>
    <x:row r="158" ht="70" customHeight="1">
      <x:c r="A158" s="25" t="str">
        <x:v>Cash and cash equivalents</x:v>
      </x:c>
      <x:c r="B158" s="234" t="n">
        <x:v>785000000</x:v>
      </x:c>
      <x:c r="C158" s="212" t="str">
        <x:v>Cash and cash equivalents</x:v>
      </x:c>
      <x:c r="D158" s="235"/>
      <x:c r="E158" s="235" t="d">
        <x:v>2025-12-31T00:00:00.000Z</x:v>
      </x:c>
      <x:c r="F158" s="212" t="str">
        <x:v>10-K</x:v>
      </x:c>
      <x:c r="G158" s="235" t="d">
        <x:v>2026-02-27T00:00:00.000Z</x:v>
      </x:c>
      <x:c r="H158" s="212" t="str">
        <x:v>0001692819-26-000006</x:v>
      </x:c>
      <x:c r="I158" s="212" t="str">
        <x:v>us-gaap:CashAndCashEquivalentsAtCarryingValue</x:v>
      </x:c>
      <x:c r="J158" s="212" t="str">
        <x:v>c-7</x:v>
      </x:c>
      <x:c r="K158" s="212" t="str">
        <x:v>[]</x:v>
      </x:c>
      <x:c r="L158" s="212" t="n">
        <x:v>6</x:v>
      </x:c>
      <x:c r="M158" s="212" t="str">
        <x:v>-6</x:v>
      </x:c>
      <x:c r="N158" s="212" t="str">
        <x:v>https://www.sec.gov/Archives/edgar/data/1692819/000169281926000006/vistra-20251231.htm</x:v>
      </x:c>
      <x:c r="O158" s="212" t="str">
        <x:v>10-K balance sheet p. 80; cash/restricted cash reconciliation</x:v>
      </x:c>
      <x:c r="P158" s="212" t="str">
        <x:v>USD instant at the balance-sheet date, from the latest original 10-K or 10-Q itself</x:v>
      </x:c>
      <x:c r="Q158" s="212" t="str">
        <x:v>42e6a0ba0c833ede7d9d452b9f1ea68fbc4cb52035129ab5d5e02916e02822d4</x:v>
      </x:c>
      <x:c r="R158" s="16" t="str">
        <x:v>USD</x:v>
      </x:c>
    </x:row>
    <x:row r="159" ht="70" customHeight="1">
      <x:c r="A159" s="25" t="str">
        <x:v>Current assets</x:v>
      </x:c>
      <x:c r="B159" s="234" t="n">
        <x:v>9179000000</x:v>
      </x:c>
      <x:c r="C159" s="212" t="str">
        <x:v>Current assets</x:v>
      </x:c>
      <x:c r="D159" s="235"/>
      <x:c r="E159" s="235" t="d">
        <x:v>2025-12-31T00:00:00.000Z</x:v>
      </x:c>
      <x:c r="F159" s="212" t="str">
        <x:v>10-K</x:v>
      </x:c>
      <x:c r="G159" s="235" t="d">
        <x:v>2026-02-27T00:00:00.000Z</x:v>
      </x:c>
      <x:c r="H159" s="212" t="str">
        <x:v>0001692819-26-000006</x:v>
      </x:c>
      <x:c r="I159" s="212" t="str">
        <x:v>us-gaap:AssetsCurrent</x:v>
      </x:c>
      <x:c r="J159" s="212" t="str">
        <x:v>c-7</x:v>
      </x:c>
      <x:c r="K159" s="212" t="str">
        <x:v>[]</x:v>
      </x:c>
      <x:c r="L159" s="212" t="n">
        <x:v>6</x:v>
      </x:c>
      <x:c r="M159" s="212" t="str">
        <x:v>-6</x:v>
      </x:c>
      <x:c r="N159" s="212" t="str">
        <x:v>https://www.sec.gov/Archives/edgar/data/1692819/000169281926000006/vistra-20251231.htm</x:v>
      </x:c>
      <x:c r="O159" s="212" t="str">
        <x:v>10-K balance sheet p. 80; cash/restricted cash reconciliation</x:v>
      </x:c>
      <x:c r="P159" s="212" t="str">
        <x:v>USD instant at the balance-sheet date, from the latest original 10-K or 10-Q itself</x:v>
      </x:c>
      <x:c r="Q159" s="212" t="str">
        <x:v>42e6a0ba0c833ede7d9d452b9f1ea68fbc4cb52035129ab5d5e02916e02822d4</x:v>
      </x:c>
      <x:c r="R159" s="16" t="str">
        <x:v>USD</x:v>
      </x:c>
    </x:row>
    <x:row r="160" ht="70" customHeight="1">
      <x:c r="A160" s="25" t="str">
        <x:v>Current liabilities</x:v>
      </x:c>
      <x:c r="B160" s="234" t="n">
        <x:v>11814000000</x:v>
      </x:c>
      <x:c r="C160" s="212" t="str">
        <x:v>Current liabilities</x:v>
      </x:c>
      <x:c r="D160" s="235"/>
      <x:c r="E160" s="235" t="d">
        <x:v>2025-12-31T00:00:00.000Z</x:v>
      </x:c>
      <x:c r="F160" s="212" t="str">
        <x:v>10-K</x:v>
      </x:c>
      <x:c r="G160" s="235" t="d">
        <x:v>2026-02-27T00:00:00.000Z</x:v>
      </x:c>
      <x:c r="H160" s="212" t="str">
        <x:v>0001692819-26-000006</x:v>
      </x:c>
      <x:c r="I160" s="212" t="str">
        <x:v>us-gaap:LiabilitiesCurrent</x:v>
      </x:c>
      <x:c r="J160" s="212" t="str">
        <x:v>c-7</x:v>
      </x:c>
      <x:c r="K160" s="212" t="str">
        <x:v>[]</x:v>
      </x:c>
      <x:c r="L160" s="212" t="n">
        <x:v>6</x:v>
      </x:c>
      <x:c r="M160" s="212" t="str">
        <x:v>-6</x:v>
      </x:c>
      <x:c r="N160" s="212" t="str">
        <x:v>https://www.sec.gov/Archives/edgar/data/1692819/000169281926000006/vistra-20251231.htm</x:v>
      </x:c>
      <x:c r="O160" s="212" t="str">
        <x:v>10-K balance sheet p. 80; cash/restricted cash reconciliation</x:v>
      </x:c>
      <x:c r="P160" s="212" t="str">
        <x:v>USD instant at the balance-sheet date, from the latest original 10-K or 10-Q itself</x:v>
      </x:c>
      <x:c r="Q160" s="212" t="str">
        <x:v>42e6a0ba0c833ede7d9d452b9f1ea68fbc4cb52035129ab5d5e02916e02822d4</x:v>
      </x:c>
      <x:c r="R160" s="16" t="str">
        <x:v>USD</x:v>
      </x:c>
    </x:row>
    <x:row r="161" ht="70" customHeight="1">
      <x:c r="A161" s="25" t="str">
        <x:v>Operating cash flow · fiscal year</x:v>
      </x:c>
      <x:c r="B161" s="234" t="n">
        <x:v>4070000000</x:v>
      </x:c>
      <x:c r="C161" s="212" t="str">
        <x:v>Operating cash flow · fiscal year</x:v>
      </x:c>
      <x:c r="D161" s="235" t="d">
        <x:v>2025-01-01T00:00:00.000Z</x:v>
      </x:c>
      <x:c r="E161" s="235" t="d">
        <x:v>2025-12-31T00:00:00.000Z</x:v>
      </x:c>
      <x:c r="F161" s="212" t="str">
        <x:v>10-K</x:v>
      </x:c>
      <x:c r="G161" s="235" t="d">
        <x:v>2026-02-27T00:00:00.000Z</x:v>
      </x:c>
      <x:c r="H161" s="212" t="str">
        <x:v>0001692819-26-000006</x:v>
      </x:c>
      <x:c r="I161" s="212" t="str">
        <x:v>us-gaap:NetCashProvidedByUsedInOperatingActivities</x:v>
      </x:c>
      <x:c r="J161" s="212" t="str">
        <x:v>c-1</x:v>
      </x:c>
      <x:c r="K161" s="212" t="str">
        <x:v>[]</x:v>
      </x:c>
      <x:c r="L161" s="212" t="n">
        <x:v>6</x:v>
      </x:c>
      <x:c r="M161" s="212" t="str">
        <x:v>-6</x:v>
      </x:c>
      <x:c r="N161" s="212" t="str">
        <x:v>https://www.sec.gov/Archives/edgar/data/1692819/000169281926000006/vistra-20251231.htm</x:v>
      </x:c>
      <x:c r="O161" s="212" t="str">
        <x:v>Annual cash-flow statement</x:v>
      </x:c>
      <x:c r="P161" s="212" t="str">
        <x:v>Exact tag, USD duration, exact start and end dates, no dimensions</x:v>
      </x:c>
      <x:c r="Q161" s="212" t="str"/>
      <x:c r="R161" s="16" t="str">
        <x:v>USD</x:v>
      </x:c>
    </x:row>
    <x:row r="162" ht="70" customHeight="1">
      <x:c r="A162" s="26" t="str">
        <x:v>Capital expenditures, including nuclear fuel and LTSA prepayments · fiscal year</x:v>
      </x:c>
      <x:c r="B162" s="236" t="n">
        <x:v>2752000000</x:v>
      </x:c>
      <x:c r="C162" s="213" t="str">
        <x:v>Capital expenditures, including nuclear fuel and LTSA prepayments · fiscal year</x:v>
      </x:c>
      <x:c r="D162" s="237" t="d">
        <x:v>2025-01-01T00:00:00.000Z</x:v>
      </x:c>
      <x:c r="E162" s="237" t="d">
        <x:v>2025-12-31T00:00:00.000Z</x:v>
      </x:c>
      <x:c r="F162" s="213" t="str">
        <x:v>10-K</x:v>
      </x:c>
      <x:c r="G162" s="237" t="d">
        <x:v>2026-02-27T00:00:00.000Z</x:v>
      </x:c>
      <x:c r="H162" s="213" t="str">
        <x:v>0001692819-26-000006</x:v>
      </x:c>
      <x:c r="I162" s="213" t="str">
        <x:v>us-gaap:PaymentsToAcquirePropertyPlantAndEquipment</x:v>
      </x:c>
      <x:c r="J162" s="213" t="str">
        <x:v>c-1</x:v>
      </x:c>
      <x:c r="K162" s="213" t="str">
        <x:v>[]</x:v>
      </x:c>
      <x:c r="L162" s="213" t="n">
        <x:v>6</x:v>
      </x:c>
      <x:c r="M162" s="213" t="str">
        <x:v>-6</x:v>
      </x:c>
      <x:c r="N162" s="213" t="str">
        <x:v>https://www.sec.gov/Archives/edgar/data/1692819/000169281926000006/vistra-20251231.htm</x:v>
      </x:c>
      <x:c r="O162" s="213" t="str">
        <x:v>Annual cash-flow statement</x:v>
      </x:c>
      <x:c r="P162" s="213" t="str">
        <x:v>Exact tag, USD duration, exact start and end dates, no dimensions</x:v>
      </x:c>
      <x:c r="Q162" s="213" t="str"/>
      <x:c r="R162" s="18" t="str">
        <x:v>USD</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5" hidden="0" customWidth="1"/>
    <x:col min="2" max="2" width="105" hidden="0" customWidth="1"/>
    <x:col min="3" max="3" width="65" hidden="0" customWidth="1"/>
    <x:col min="4" max="4" width="65" hidden="0" customWidth="1"/>
  </x:cols>
  <x:sheetData>
    <x:row r="1" ht="25" customHeight="1">
      <x:c r="A1" s="134" t="str">
        <x:v>Topic</x:v>
      </x:c>
      <x:c r="B1" s="135" t="str">
        <x:v>Finding / limitation</x:v>
      </x:c>
      <x:c r="C1" s="135" t="str">
        <x:v>Source</x:v>
      </x:c>
      <x:c r="D1" s="136" t="str">
        <x:v>Location / filing date</x:v>
      </x:c>
    </x:row>
    <x:row r="2" ht="90" customHeight="1">
      <x:c r="A2" s="93" t="str">
        <x:v>Scope</x:v>
      </x:c>
      <x:c r="B2" s="111" t="str">
        <x:v>Liquidity review checked October 15, 2026; interest and funding interpretation checked October 16. Cash and facility balances remain June 30. Not live data or investment advice.</x:v>
      </x:c>
      <x:c r="C2" s="111"/>
      <x:c r="D2" s="96"/>
    </x:row>
    <x:row r="3" ht="90" customHeight="1">
      <x:c r="A3" s="93" t="str">
        <x:v>Workbook</x:v>
      </x:c>
      <x:c r="B3" s="111" t="str">
        <x:v>Cash review shows historical sources and uses. Payment dates separates June amounts from the old annual schedule. Financing capacity distinguishes resources and borrowers. Data retains facts and provenance.</x:v>
      </x:c>
      <x:c r="C3" s="111"/>
      <x:c r="D3" s="96"/>
    </x:row>
    <x:row r="4" ht="90" customHeight="1">
      <x:c r="A4" s="93" t="str">
        <x:v>Format</x:v>
      </x:c>
      <x:c r="B4" s="111" t="str">
        <x:v>Full USD stored, displayed in millions. Arial 10. Blue inputs, green links, black calculations. A dash is numeric zero; a blank available-capacity cell means Unavailable.</x:v>
      </x:c>
      <x:c r="C4" s="111"/>
      <x:c r="D4" s="96"/>
    </x:row>
    <x:row r="5" ht="90" customHeight="1">
      <x:c r="A5" s="93" t="str">
        <x:v>Numeric inputs</x:v>
      </x:c>
      <x:c r="B5" s="111" t="str">
        <x:v>Missing inputs produce a visible #N/A in dependent arithmetic, never zero. Original facts are a frozen evidence record, not forecast assumptions.</x:v>
      </x:c>
      <x:c r="C5" s="111"/>
      <x:c r="D5" s="96"/>
    </x:row>
    <x:row r="6" ht="90" customHeight="1">
      <x:c r="A6" s="93" t="str">
        <x:v>Corporate revolver draw conditions</x:v>
      </x:c>
      <x:c r="B6" s="111" t="str">
        <x:v>Each drawing requires no continuing default, specified representations to remain true and a borrowing notice. The springing covenant caps contract-defined total net leverage at 5.50x during a Compliance Period. The trigger exceeds 35% of revolving commitments, with specified LC exclusions including undrawn LCs. Ordinary undrawn LCs reduce availability but are not automatically covenant-trigger usage. Covenant headroom is Unavailable.</x:v>
      </x:c>
      <x:c r="C6" s="111" t="str">
        <x:v>https://www.sec.gov/Archives/edgar/data/1692819/000114036126026944/ef20077059_ex10-1.htm</x:v>
      </x:c>
      <x:c r="D6" s="96" t="str">
        <x:v>Ex.10.1, clean agreement Annex B §§7.1–7.2, 9.13, 10.9; Compliance Period definition; event 2026-06-24; filed 2026-06-30; 0001140361-26-026944</x:v>
      </x:c>
    </x:row>
    <x:row r="7" ht="90" customHeight="1">
      <x:c r="A7" s="93" t="str">
        <x:v>Commodity-linked borrowing conditions</x:v>
      </x:c>
      <x:c r="B7" s="111" t="str">
        <x:v>September amendment retains 1.75B commitments and extends maturity to September 29, 2027. Draws remain subject to the borrowing base, no default, representations and notice. The agreement has a springing contract-defined 5.50x total net leverage covenant for a Compliance Quarter. Current borrowing base, drawings and headroom are Unavailable; June availability is not rolled forward.</x:v>
      </x:c>
      <x:c r="C7" s="111" t="str">
        <x:v>https://www.sec.gov/Archives/edgar/data/1692819/000114036126038468/ef20083016_ex10-1.htm</x:v>
      </x:c>
      <x:c r="D7" s="96" t="str">
        <x:v>Ex.10.1, §1.1 definitions, §§2.1, 5.2, 7.1–7.2, 10.9; amendment commitment schedule; event 2026-09-30; filed 2026-10-05; 0001140361-26-038468</x:v>
      </x:c>
    </x:row>
    <x:row r="8" ht="90" customHeight="1">
      <x:c r="A8" s="93" t="str">
        <x:v>Receivables and repurchase renewals</x:v>
      </x:c>
      <x:c r="B8" s="111" t="str">
        <x:v>Receivables amendment extends termination to July 9, 2027 and its purchaser schedule totals 1.25B. RecCo funds purchased eligible receivables under conditions. The separate repo remains uncommitted and uses the subordinated note from that same receivables structure. Capacity and term extensions are not cash receipts.</x:v>
      </x:c>
      <x:c r="C8" s="111" t="str">
        <x:v>https://www.sec.gov/Archives/edgar/data/1692819/000114036126028619/ef20077984_ex4-1.htm</x:v>
      </x:c>
      <x:c r="D8" s="96" t="str">
        <x:v>Ex.4.1 §§2.1–2.5 and Schedule VI; Ex.10.1 §2; 10-Q Note 12 p.27; event 2026-07-10; filed 2026-07-16; 0001140361-26-028619</x:v>
      </x:c>
    </x:row>
    <x:row r="9" ht="90" customHeight="1">
      <x:c r="A9" s="93" t="str">
        <x:v>Project repayment and recourse</x:v>
      </x:c>
      <x:c r="B9" s="111" t="str">
        <x:v>BCOP term loans amortize over 20 years from conversion using project cash flows. Pulaski construction conversion requires commercial operation and other conditions; the 206M combined term balance has a December 2029 final maturity, not a single 206M balloon established here. Vistra guarantees the 261M bridge. Vistra Zero and Permian obligations have separate security and recourse terms. Project cash available for parent obligations is Unavailable.</x:v>
      </x:c>
      <x:c r="C9" s="111" t="str">
        <x:v>https://www.sec.gov/Archives/edgar/data/1692819/000169281926000019/vistra-20260630.htm</x:v>
      </x:c>
      <x:c r="D9" s="96" t="str">
        <x:v>10-Q Note 12 pp.24–25; event 2026-06-30; filed 2026-08-10; 0001692819-26-000019</x:v>
      </x:c>
    </x:row>
    <x:row r="10" ht="90" customHeight="1">
      <x:c r="A10" s="93" t="str">
        <x:v>Parent distributions</x:v>
      </x:c>
      <x:c r="B10" s="111" t="str">
        <x:v>At December 31, 2025 the annual filing said Vistra Operations restricted net assets could be distributed to Parent, and reported 1.625B of subsidiary dividends received during 2025. That does not locate June cash or establish a future parent distribution. The June filing describes investment and dividend restrictions that can apply following a downgrade below investment grade. No future transfer amount is assumed.</x:v>
      </x:c>
      <x:c r="C10" s="111" t="str">
        <x:v>https://www.sec.gov/Archives/edgar/data/1692819/000169281926000006/vistra-20251231.htm</x:v>
      </x:c>
      <x:c r="D10" s="96" t="str">
        <x:v>10-K Note 13 p.116; Schedule I pp.159–160; 10-Q Note 12 p.23; event 2025-12-31; filed 2026-02-27; 0001692819-26-000006</x:v>
      </x:c>
    </x:row>
    <x:row r="11" ht="90" customHeight="1">
      <x:c r="A11" s="93" t="str">
        <x:v>Facility capacity before balance sheet</x:v>
      </x:c>
      <x:c r="B11" s="111" t="str">
        <x:v>Corporate revolving credit commitments increased from $3.44 billion to $5.50 billion and certain guarantees and covenants changed. The event preceded the June 30 balance sheet; $5.50 billion is facility capacity, not an additional borrowing after that date.</x:v>
      </x:c>
      <x:c r="C11" s="111" t="str">
        <x:v>https://www.sec.gov/Archives/edgar/data/1692819/000114036126026944/ef20077059_8k.htm</x:v>
      </x:c>
      <x:c r="D11" s="96" t="str">
        <x:v>Event 2026-06-24; filed 2026-06-30; 8-K; 0001140361-26-026944</x:v>
      </x:c>
    </x:row>
    <x:row r="12" ht="90" customHeight="1">
      <x:c r="A12" s="93" t="str">
        <x:v>Facility capacity and term</x:v>
      </x:c>
      <x:c r="B12" s="111" t="str">
        <x:v>Receivables purchasers' aggregate commitment rose from $1.1 billion to $1.25 billion, and the agreement was extended to July 9, 2027. The separate repurchase facility was also extended to that date. The $1.25 billion is capacity, not a reported outstanding borrowing.</x:v>
      </x:c>
      <x:c r="C12" s="111" t="str">
        <x:v>https://www.sec.gov/Archives/edgar/data/1692819/000114036126028619/ef20077984_8k.htm</x:v>
      </x:c>
      <x:c r="D12" s="96" t="str">
        <x:v>Event 2026-07-10; filed 2026-07-16; 8-K; 0001140361-26-028619</x:v>
      </x:c>
    </x:row>
    <x:row r="13" ht="90" customHeight="1">
      <x:c r="A13" s="93" t="str">
        <x:v>Not a financing filing</x:v>
      </x:c>
      <x:c r="B13" s="111" t="str">
        <x:v>Reports PJM electricity capacity auction results for planning year 2028/2029; it does not report a new borrowing or financing facility.</x:v>
      </x:c>
      <x:c r="C13" s="111" t="str">
        <x:v>https://www.sec.gov/Archives/edgar/data/1692819/000114036126028454/ef20077988_8k.htm</x:v>
      </x:c>
      <x:c r="D13" s="96" t="str">
        <x:v>Event 2026-07-14; filed 2026-07-14; 8-K; 0001140361-26-028454</x:v>
      </x:c>
    </x:row>
    <x:row r="14" ht="90" customHeight="1">
      <x:c r="A14" s="93" t="str">
        <x:v>Earnings release, not later borrowing</x:v>
      </x:c>
      <x:c r="B14" s="111" t="str">
        <x:v>Exhibit 99.1 reports June 30 liquidity, including $4,408 million corporate revolver availability and $1,452 million commodity-linked availability. These are June 30 availability figures, not later borrowing. The release also discusses the Helix investment commitment, which is outside baseline debt.</x:v>
      </x:c>
      <x:c r="C14" s="111" t="str">
        <x:v>https://www.sec.gov/Archives/edgar/data/1692819/000169281926000017/vistra-20260807.htm</x:v>
      </x:c>
      <x:c r="D14" s="96" t="str">
        <x:v>Event 2026-08-07; filed 2026-08-07; 8-K; 0001692819-26-000017</x:v>
      </x:c>
    </x:row>
    <x:row r="15" ht="90" customHeight="1">
      <x:c r="A15" s="93" t="str">
        <x:v>Shelf registration, not issuance</x:v>
      </x:c>
      <x:c r="B15" s="111" t="str">
        <x:v>Registers securities for possible offerings. The later pricing sheet, final prospectus and September 24 8-K identify the completed junior-note issuance; this registration is not a separate borrowing.</x:v>
      </x:c>
      <x:c r="C15" s="111" t="str">
        <x:v>https://www.sec.gov/Archives/edgar/data/1692819/000114036126035954/ny20081693x1_s3asr.htm</x:v>
      </x:c>
      <x:c r="D15" s="96" t="str">
        <x:v>Event not stated; filed 2026-09-09; S-3ASR; 0001140361-26-035954</x:v>
      </x:c>
    </x:row>
    <x:row r="16" ht="90" customHeight="1">
      <x:c r="A16" s="93" t="str">
        <x:v>Preliminary offering document, not issuance</x:v>
      </x:c>
      <x:c r="B16" s="111" t="str">
        <x:v>Preliminary prospectus for the two junior-note series due 2057 has blank principal amounts and rates. The later FWP supplies pricing and the September 24 8-K confirms issuance; this document is not another borrowing.</x:v>
      </x:c>
      <x:c r="C16" s="111" t="str">
        <x:v>https://www.sec.gov/Archives/edgar/data/1692819/000114036126036130/ny20081693x2_424b5.htm</x:v>
      </x:c>
      <x:c r="D16" s="96" t="str">
        <x:v>Event not stated; filed 2026-09-10; 424B5; 0001140361-26-036130</x:v>
      </x:c>
    </x:row>
    <x:row r="17" ht="90" customHeight="1">
      <x:c r="A17" s="93" t="str">
        <x:v>Pricing terms; same notes as September 24 issuance</x:v>
      </x:c>
      <x:c r="B17" s="111" t="str">
        <x:v>Pricing sheet for $850 million Series A and $650 million Series B junior subordinated notes due 2057, with initial rates of 7.000% and 7.250%. It projected September 24 settlement; the later 8-K confirms issuance. This is not additional debt beyond that issuance.</x:v>
      </x:c>
      <x:c r="C17" s="111" t="str">
        <x:v>https://www.sec.gov/Archives/edgar/data/1692819/000114036126036245/ef20081902_fwp.htm</x:v>
      </x:c>
      <x:c r="D17" s="96" t="str">
        <x:v>Event 2026-09-10; filed 2026-09-11; FWP; 0001140361-26-036245</x:v>
      </x:c>
    </x:row>
    <x:row r="18" ht="90" customHeight="1">
      <x:c r="A18" s="93" t="str">
        <x:v>Final offering terms; same notes as September 24 issuance</x:v>
      </x:c>
      <x:c r="B18" s="111" t="str">
        <x:v>Final prospectus estimates about $1.48 billion in net proceeds. It says proceeds are intended for general corporate purposes, including possible redemption of Series A and B preferred stock at or after their October and December reset dates. Redemption is not confirmed here; the prospectus is not another issuance.</x:v>
      </x:c>
      <x:c r="C18" s="111" t="str">
        <x:v>https://www.sec.gov/Archives/edgar/data/1692819/000114036126036415/ny20081693x3_424b2.htm</x:v>
      </x:c>
      <x:c r="D18" s="96" t="str">
        <x:v>Event not stated; filed 2026-09-14; 424B2; 0001140361-26-036415</x:v>
      </x:c>
    </x:row>
    <x:row r="19" ht="90" customHeight="1">
      <x:c r="A19" s="93" t="str">
        <x:v>New debt issued after balance sheet</x:v>
      </x:c>
      <x:c r="B19" s="111" t="str">
        <x:v>Vistra Operations completed $1.5 billion of junior subordinated notes due 2057: $850 million Series A at an initial 7.000% and $650 million Series B at an initial 7.250%, guaranteed by Vistra. The indenture permits interest deferral for up to 10 consecutive years per period, subject to its terms. This issuance is not part of June 30 debt.</x:v>
      </x:c>
      <x:c r="C19" s="111" t="str">
        <x:v>https://www.sec.gov/Archives/edgar/data/1692819/000114036126037577/ef20082680_8k.htm</x:v>
      </x:c>
      <x:c r="D19" s="96" t="str">
        <x:v>Event 2026-09-24; filed 2026-09-24; 8-K; 0001140361-26-037577</x:v>
      </x:c>
    </x:row>
    <x:row r="20" ht="90" customHeight="1">
      <x:c r="A20" s="93" t="str">
        <x:v>Facility maturity change</x:v>
      </x:c>
      <x:c r="B20" s="111" t="str">
        <x:v>Commodity-linked revolving credit facility maturity was extended from September 30, 2026 to September 29, 2027. This filing does not establish an additional amount borrowed.</x:v>
      </x:c>
      <x:c r="C20" s="111" t="str">
        <x:v>https://www.sec.gov/Archives/edgar/data/1692819/000114036126038468/ef20083016_8k.htm</x:v>
      </x:c>
      <x:c r="D20" s="96" t="str">
        <x:v>Event 2026-09-30; filed 2026-10-05; 8-K; 0001140361-26-038468</x:v>
      </x:c>
    </x:row>
    <x:row r="21" ht="90" customHeight="1">
      <x:c r="A21" s="93" t="str">
        <x:v>Limit 1</x:v>
      </x:c>
      <x:c r="B21" s="111" t="str">
        <x:v>June 30 is the cash and availability date. Current cash, drawable capacity, parent-accessible cash and contractual covenant headroom are Unavailable.</x:v>
      </x:c>
      <x:c r="C21" s="111"/>
      <x:c r="D21" s="96"/>
    </x:row>
    <x:row r="22" ht="90" customHeight="1">
      <x:c r="A22" s="93" t="str">
        <x:v>Limit 2</x:v>
      </x:c>
      <x:c r="B22" s="111" t="str">
        <x:v>Operating cash flow is seasonal and weighted toward the second half. The first-half result and TTM figures do not establish future recurring cash generation.</x:v>
      </x:c>
      <x:c r="C22" s="111"/>
      <x:c r="D22" s="96"/>
    </x:row>
    <x:row r="23" ht="90" customHeight="1">
      <x:c r="A23" s="93" t="str">
        <x:v>Limit 3</x:v>
      </x:c>
      <x:c r="B23" s="111" t="str">
        <x:v>Interest cash in operating cash flow is not deducted twice. Nuveen principal paid in financing is separate from interest paid in operating cash flow.</x:v>
      </x:c>
      <x:c r="C23" s="111"/>
      <x:c r="D23" s="96"/>
    </x:row>
    <x:row r="24" ht="90" customHeight="1">
      <x:c r="A24" s="93" t="str">
        <x:v>Limit 4</x:v>
      </x:c>
      <x:c r="B24" s="111" t="str">
        <x:v>Posted margin deposits of 1.436B and affiliate-financed eligible assets of 438M are already posted, not additional cash sources. Trust-security sale proceeds are reinvested within nuclear decommissioning funds and do not represent gross free cash available for debt repayment.</x:v>
      </x:c>
      <x:c r="C24" s="111"/>
      <x:c r="D24" s="96"/>
    </x:row>
    <x:row r="25" ht="90" customHeight="1">
      <x:c r="A25" s="93" t="str">
        <x:v>Limit 5</x:v>
      </x:c>
      <x:c r="B25" s="111" t="str">
        <x:v>Letters of credit total 3.587B: 1.092B corporate revolver, 1.759B other LOC facilities and 736M alternative facilities. The 1.092B already reduces revolver availability. Other LOC facilities are uncommitted credit support, not extra cash borrowing capacity.</x:v>
      </x:c>
      <x:c r="C25" s="111"/>
      <x:c r="D25" s="96"/>
    </x:row>
    <x:row r="26" ht="90" customHeight="1">
      <x:c r="A26" s="93" t="str">
        <x:v>Limit 6</x:v>
      </x:c>
      <x:c r="B26" s="111" t="str">
        <x:v>Note 12 also states 13M of BCOP debt-service reserve LCs while its credit facilities table displays zero project LCs. Scope/overlap with the 3.587B total is not established; no additional aggregate is inferred.</x:v>
      </x:c>
      <x:c r="C26" s="111"/>
      <x:c r="D26" s="96"/>
    </x:row>
    <x:row r="27" ht="90" customHeight="1">
      <x:c r="A27" s="93" t="str">
        <x:v>Limit 7</x:v>
      </x:c>
      <x:c r="B27" s="111" t="str">
        <x:v>The 2025 annual maturity schedule is historical. First-half refinancing and new debt prevent carrying it forward as remaining June maturities. The selected dated payments are not a full debt-service or obligations schedule.</x:v>
      </x:c>
      <x:c r="C27" s="111"/>
      <x:c r="D27" s="96"/>
    </x:row>
    <x:row r="28" ht="90" customHeight="1">
      <x:c r="A28" s="93" t="str">
        <x:v>Limit 8</x:v>
      </x:c>
      <x:c r="B28" s="111" t="str">
        <x:v>Cogentrix expected cash consideration is approximately 2.3B, with an estimated 1.5B of debt assumed and 5M shares also contemplated. Closing conditions and adjustments apply; late-2026 closing was an expectation, not a confirmed payment date or completed transaction.</x:v>
      </x:c>
      <x:c r="C28" s="111"/>
      <x:c r="D28" s="96"/>
    </x:row>
    <x:row r="29" ht="90" customHeight="1">
      <x:c r="A29" s="93" t="str">
        <x:v>Limit 9</x:v>
      </x:c>
      <x:c r="B29" s="111" t="str">
        <x:v>Helix initial 500M remains callable at June 30. Funded-to-date and call dates are Unavailable. The additional 500M milestones had not occurred; Vistra could elect to invest anyway. Neither amount is scheduled into December.</x:v>
      </x:c>
      <x:c r="C29" s="111"/>
      <x:c r="D29" s="96"/>
    </x:row>
    <x:row r="30" ht="90" customHeight="1">
      <x:c r="A30" s="93" t="str">
        <x:v>Limit 10</x:v>
      </x:c>
      <x:c r="B30" s="111" t="str">
        <x:v>No forecast surplus, cash runway or overall repayment shortfall is calculated. Future collateral calls, capex, acquisitions and transfer restrictions prevent combining dated cash and capacity into a promised funding result.</x:v>
      </x:c>
      <x:c r="C30" s="111"/>
      <x:c r="D30" s="96"/>
    </x:row>
    <x:row r="31" ht="90" customHeight="1">
      <x:c r="A31" s="93" t="str">
        <x:v>Index review</x:v>
      </x:c>
      <x:c r="B31" s="111" t="str">
        <x:v>SEC submissions index checked October 15, 2026. Ten candidate financing documents since June 30; six 8-Ks plus four offering documents. Main documents and relevant exhibits reviewed. No later financing candidate appeared in that retrieved index. New or mismatched filings remain Not checked.</x:v>
      </x:c>
      <x:c r="C31" s="111" t="str">
        <x:v>https://data.sec.gov/submissions/CIK0001692819.json</x:v>
      </x:c>
      <x:c r="D31" s="96" t="str">
        <x:v>Retrieved October 15, 2026</x:v>
      </x:c>
    </x:row>
    <x:row r="32" ht="90" customHeight="1">
      <x:c r="A32" s="93" t="str">
        <x:v>October filing date</x:v>
      </x:c>
      <x:c r="B32" s="111" t="str">
        <x:v>The Sep 30 amendment was accepted Oct 2 at 20:12:47 but its EDGAR filing date is Oct 5. Filing date corrected from the older review.</x:v>
      </x:c>
      <x:c r="C32" s="111" t="str">
        <x:v>https://www.sec.gov/Archives/edgar/data/1692819/000114036126038468/0001140361-26-038468-index.html</x:v>
      </x:c>
      <x:c r="D32" s="96" t="str">
        <x:v>Event Sep 30, filed Oct 5, 2026</x:v>
      </x:c>
    </x:row>
    <x:row r="33" ht="120" customHeight="1">
      <x:c r="A33" s="93" t="str">
        <x:v>Historical interest coverage</x:v>
      </x:c>
      <x:c r="B33" s="111" t="str">
        <x:v>TTM reported operating income / TTM reported interest component before capitalized interest. FY2025 + H1 2026 - H1 2025. Every period reconciles to the mixed total; the original H1 2025 filing independently agrees.</x:v>
      </x:c>
      <x:c r="C33" s="111" t="str">
        <x:v>https://github.com/jackconnolly1000-ux/sec-filing-research-terminal/blob/main/docs/vistra_interest_coverage.md</x:v>
      </x:c>
      <x:c r="D33" s="96" t="str">
        <x:v>Checked October 16, 2026</x:v>
      </x:c>
    </x:row>
    <x:row r="34" ht="120" customHeight="1">
      <x:c r="A34" s="93" t="str">
        <x:v>Capitalized-interest basis</x:v>
      </x:c>
      <x:c r="B34" s="111" t="str">
        <x:v>The reported Interest expense component is before the separately displayed capitalized-interest deduction and before interest income. TTM capitalized interest is 151M (125 + 82 − 56), shown only in the reconciliation. The coverage denominator stays 1,117M as reported; capitalized interest is not added to or subtracted from it again.</x:v>
      </x:c>
      <x:c r="C34" s="111" t="str">
        <x:v>https://www.sec.gov/Archives/edgar/data/1692819/000169281926000019/vistra-20260630.htm</x:v>
      </x:c>
      <x:c r="D34" s="96" t="str">
        <x:v>10-K p. 121; 10-Q Note 12 p. 28</x:v>
      </x:c>
    </x:row>
    <x:row r="35" ht="120" customHeight="1">
      <x:c r="A35" s="93" t="str">
        <x:v>Interest composition</x:v>
      </x:c>
      <x:c r="B35" s="111" t="str">
        <x:v>The denominator excludes the separately reported unrealized swap mark-to-market effects, debt-cost amortization, extinguishment effects and Other. The mixed total is 1,132M TTM; it is not the selected interest component. Receivables-facility and Nuveen interest may sit in the component or Other; the checked filings do not establish the allocation. Other's detailed composition is Unavailable.</x:v>
      </x:c>
      <x:c r="C35" s="111" t="str">
        <x:v>https://www.sec.gov/Archives/edgar/data/1692819/000169281926000019/vistra-20260630.htm</x:v>
      </x:c>
      <x:c r="D35" s="96" t="str">
        <x:v>Separate interest component, not the mixed statement total</x:v>
      </x:c>
    </x:row>
    <x:row r="36" ht="120" customHeight="1">
      <x:c r="A36" s="93" t="str">
        <x:v>Signs and definitions</x:v>
      </x:c>
      <x:c r="B36" s="111" t="str">
        <x:v>Raw swap gains and extinguishment gains are positive. Their signs are reversed only to match the printed expense table. Capitalization is a deduction. The interest extension is monetary, duration, debit; its terse label is Interest expense and documentation adds no allocation detail.</x:v>
      </x:c>
      <x:c r="C36" s="111" t="str">
        <x:v>https://www.sec.gov/Archives/edgar/data/1692819/000169281926000019/vistra-20260630.xsd</x:v>
      </x:c>
      <x:c r="D36" s="96" t="str">
        <x:v>Schema and labels reviewed; raw facts and hashes are retained</x:v>
      </x:c>
    </x:row>
    <x:row r="37" ht="120" customHeight="1">
      <x:c r="A37" s="97" t="str">
        <x:v>Coverage limits</x:v>
      </x:c>
      <x:c r="B37" s="114" t="str">
        <x:v>Historical accrual earnings coverage, not cash interest coverage, future repayment coverage, covenant headroom or drawable capacity. The numerator is reported consolidated operating income without adjusted earnings addbacks; it retains reported operating and commodity-hedge effects. The interest component is not a fully verified allocation of all borrowing and Nuveen costs. Cash swap settlements and a fully reconciled all-in financing-cost measure remain Unavailable.</x:v>
      </x:c>
      <x:c r="C37" s="114"/>
      <x:c r="D37" s="100" t="str">
        <x:v>Receivables/Nuveen allocation and Other composition remain Unavailable</x:v>
      </x:c>
    </x:row>
    <x:row r="38" ht="78" customHeight="1">
      <x:c r="A38" s="254" t="str">
        <x:v>Borrowing and leases</x:v>
      </x:c>
      <x:c r="B38" s="257" t="str">
        <x:v>The Borrowing and leases sheet reconciles baseline borrowing and shows lease balances on their own dates. Unavailable means the amount was not established in the checked evidence. Leases never enter baseline debt or its ratios.</x:v>
      </x:c>
      <x:c r="C38" s="258" t="str">
        <x:v>https://github.com/jackconnolly1000-ux/sec-filing-research-terminal/blob/main/docs/borrowing_lease_presentation.md</x:v>
      </x:c>
    </x:row>
    <x:row r="39" ht="86" customHeight="1">
      <x:c r="A39" s="254" t="str">
        <x:v>Ratio reconciliation</x:v>
      </x:c>
      <x:c r="B39" s="257" t="str">
        <x:v>Debt and liquidity shows current ratio, same-filing net debt, TTM OCF/debt and FCF/debt, and historical interest coverage. Denominator definitions and capital-spending bases differ by company. Values are historical, not future funding coverage.</x:v>
      </x:c>
      <x:c r="C39" s="258" t="str">
        <x:v>https://github.com/jackconnolly1000-ux/sec-filing-research-terminal/blob/main/docs/ratio_reconciliation.md</x:v>
      </x:c>
    </x:row>
    <x:row r="40" ht="70" customHeight="1">
      <x:c r="A40" s="308" t="str">
        <x:v>History</x:v>
      </x:c>
      <x:c r="B40" s="309" t="str">
        <x:v>Two dated observations per company. Fiscal-year and TTM flows are overlapping twelve-month windows. Unsupported older Vistra borrowing and dependent ratios remain Unavailable.</x:v>
      </x:c>
      <x:c r="C40" s="310" t="str">
        <x:v>https://github.com/jackconnolly1000-ux/sec-filing-research-terminal/blob/main/docs/company_history.md</x:v>
      </x:c>
    </x:row>
    <x:row r="41" ht="70" customHeight="1">
      <x:c r="A41" s="308" t="str">
        <x:v>Core charts</x:v>
      </x:c>
      <x:c r="B41" s="309" t="str">
        <x:v>Two native charts link to Debt and liquidity and History. Signed capital spending is a use; FCF is the result. Unsupported older Vistra borrowing is omitted, never plotted as zero.</x:v>
      </x:c>
      <x:c r="C41" s="310" t="str">
        <x:v>https://github.com/jackconnolly1000-ux/sec-filing-research-terminal/blob/main/docs/core_charts.md</x:v>
      </x:c>
    </x:row>
    <x:row r="42" ht="76" customHeight="1">
      <x:c r="A42" s="308" t="str">
        <x:v>Workbook guide</x:v>
      </x:c>
      <x:c r="B42" s="309" t="str">
        <x:v>The first sheet lists all workbook tabs and their questions. Core metrics, dated history and common charts agree with the app. URLs remain full, copyable source text. Native hyperlink actions are not authored by this spreadsheet runtime.</x:v>
      </x:c>
      <x:c r="C42" s="310" t="str">
        <x:v>https://github.com/jackconnolly1000-ux/sec-filing-research-terminal/blob/main/docs/excel_parity.md</x:v>
      </x:c>
    </x:row>
  </x:sheetData>
  <x:pageMargins left="0.7" right="0.7" top="0.75" bottom="0.75" header="0.3" footer="0.3"/>
</x:worksheet>
</file>