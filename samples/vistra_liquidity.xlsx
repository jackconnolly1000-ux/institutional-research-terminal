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86266562b74055" /></Relationships>
</file>

<file path=xl/workbook.xml><?xml version="1.0" encoding="utf-8"?>
<x:workbook xmlns:x="http://schemas.openxmlformats.org/spreadsheetml/2006/main">
  <x:sheets>
    <x:sheet xmlns:r="http://schemas.openxmlformats.org/officeDocument/2006/relationships" name="Cash review" sheetId="1" r:id="R2142748c7ec04912"/>
    <x:sheet xmlns:r="http://schemas.openxmlformats.org/officeDocument/2006/relationships" name="Payment dates" sheetId="2" r:id="Rbe5a76f5cca34193"/>
    <x:sheet xmlns:r="http://schemas.openxmlformats.org/officeDocument/2006/relationships" name="Financing capacity" sheetId="3" r:id="Re207e1ee820144af"/>
    <x:sheet xmlns:r="http://schemas.openxmlformats.org/officeDocument/2006/relationships" name="Data" sheetId="4" r:id="Rfe679703350b437d"/>
    <x:sheet xmlns:r="http://schemas.openxmlformats.org/officeDocument/2006/relationships" name="About" sheetId="5" r:id="Rcd0ffb92faca4ff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quot;-&quot;"/>
    <x:numFmt numFmtId="201" formatCode="mmm d, yyyy"/>
    <x:numFmt numFmtId="202" formatCode="#,##0.00,,;(#,##0.00,,);0.00"/>
  </x:numFmts>
  <x:fonts count="17">
    <x:font>
      <x:sz val="11"/>
      <x:name val="Carlito"/>
    </x:font>
    <x:font>
      <x:sz val="11"/>
      <x:color rgb="FF0000FF"/>
      <x:name val="Carlito"/>
    </x:font>
    <x:font>
      <x:sz val="11"/>
      <x:color rgb="FF008000"/>
      <x:name val="Carlito"/>
    </x:font>
    <x:font>
      <x:sz val="11"/>
      <x:color rgb="FF000000"/>
      <x:name val="Carlito"/>
    </x:font>
    <x:font>
      <x:sz val="11"/>
      <x:name val="Arial"/>
    </x:font>
    <x:font>
      <x:sz val="11"/>
      <x:color rgb="FF008000"/>
      <x:name val="Arial"/>
    </x:font>
    <x:font>
      <x:sz val="11"/>
      <x:color rgb="FF000000"/>
      <x:name val="Arial"/>
    </x:font>
    <x:font>
      <x:sz val="10"/>
      <x:name val="Arial"/>
    </x:font>
    <x:font>
      <x:sz val="10"/>
      <x:color rgb="FF008000"/>
      <x:name val="Arial"/>
    </x:font>
    <x:font>
      <x:sz val="10"/>
      <x:color rgb="FF000000"/>
      <x:name val="Arial"/>
    </x:font>
    <x:font>
      <x:sz val="11"/>
      <x:color rgb="FF0000FF"/>
      <x:name val="Arial"/>
    </x:font>
    <x:font>
      <x:sz val="10"/>
      <x:color rgb="FF0000FF"/>
      <x:name val="Arial"/>
    </x:font>
    <x:font>
      <x:b/>
      <x:sz val="10"/>
      <x:name val="Arial"/>
    </x:font>
    <x:font>
      <x:b/>
      <x:sz val="14"/>
      <x:name val="Arial"/>
    </x:font>
    <x:font>
      <x:i/>
      <x:sz val="10"/>
      <x:name val="Arial"/>
    </x:font>
    <x:font>
      <x:b/>
      <x:sz val="11"/>
      <x:name val="Carlito"/>
    </x:font>
    <x:font>
      <x:b/>
      <x:sz val="10"/>
      <x:color rgb="FF000000"/>
      <x:name val="Arial"/>
    </x:font>
  </x:fonts>
  <x:fills count="3">
    <x:fill>
      <x:patternFill patternType="none"/>
    </x:fill>
    <x:fill>
      <x:patternFill patternType="gray125"/>
    </x:fill>
    <x:fill>
      <x:patternFill patternType="solid">
        <x:fgColor rgb="FFF0F2F5"/>
      </x:patternFill>
    </x:fill>
  </x:fills>
  <x:borders count="16">
    <x:border>
      <x:left/>
      <x:right/>
      <x:top/>
      <x:bottom/>
      <x:diagonal/>
    </x:border>
    <x:border>
      <x:left/>
      <x:right/>
      <x:top/>
      <x:bottom style="thin">
        <x:color rgb="FFAEB4BD"/>
      </x:bottom>
      <x:diagonal/>
    </x:border>
    <x:border>
      <x:left style="thin">
        <x:color rgb="FFBBC3CD"/>
      </x:left>
      <x:right/>
      <x:top style="thin">
        <x:color rgb="FFBBC3CD"/>
      </x:top>
      <x:bottom style="thin">
        <x:color rgb="FFAEB4BD"/>
      </x:bottom>
      <x:diagonal/>
    </x:border>
    <x:border>
      <x:left/>
      <x:right style="thin">
        <x:color rgb="FFBBC3CD"/>
      </x:right>
      <x:top style="thin">
        <x:color rgb="FFBBC3CD"/>
      </x:top>
      <x:bottom style="thin">
        <x:color rgb="FFAEB4BD"/>
      </x:bottom>
      <x:diagonal/>
    </x:border>
    <x:border>
      <x:left style="thin">
        <x:color rgb="FFBBC3CD"/>
      </x:left>
      <x:right/>
      <x:top/>
      <x:bottom/>
      <x:diagonal/>
    </x:border>
    <x:border>
      <x:left/>
      <x:right style="thin">
        <x:color rgb="FFBBC3CD"/>
      </x:right>
      <x:top/>
      <x:bottom/>
      <x:diagonal/>
    </x:border>
    <x:border>
      <x:left style="thin">
        <x:color rgb="FFBBC3CD"/>
      </x:left>
      <x:right/>
      <x:top/>
      <x:bottom style="thin">
        <x:color rgb="FFBBC3CD"/>
      </x:bottom>
      <x:diagonal/>
    </x:border>
    <x:border>
      <x:left/>
      <x:right style="thin">
        <x:color rgb="FFBBC3CD"/>
      </x:right>
      <x:top/>
      <x:bottom style="thin">
        <x:color rgb="FFBBC3CD"/>
      </x:bottom>
      <x:diagonal/>
    </x:border>
    <x:border>
      <x:left style="thin">
        <x:color rgb="FFBBC3CD"/>
      </x:left>
      <x:right/>
      <x:top style="thin">
        <x:color rgb="FFBBC3CD"/>
      </x:top>
      <x:bottom/>
      <x:diagonal/>
    </x:border>
    <x:border>
      <x:left/>
      <x:right style="thin">
        <x:color rgb="FFBBC3CD"/>
      </x:right>
      <x:top style="thin">
        <x:color rgb="FFBBC3CD"/>
      </x:top>
      <x:bottom/>
      <x:diagonal/>
    </x:border>
    <x:border>
      <x:left/>
      <x:right/>
      <x:top style="thin">
        <x:color rgb="FFBBC3CD"/>
      </x:top>
      <x:bottom style="thin">
        <x:color rgb="FFAEB4BD"/>
      </x:bottom>
      <x:diagonal/>
    </x:border>
    <x:border>
      <x:left/>
      <x:right/>
      <x:top/>
      <x:bottom style="thin">
        <x:color rgb="FFBBC3CD"/>
      </x:bottom>
      <x:diagonal/>
    </x:border>
    <x:border>
      <x:left style="thin">
        <x:color rgb="FFBBC3CD"/>
      </x:left>
      <x:right/>
      <x:top style="thin">
        <x:color rgb="FFBBC3CD"/>
      </x:top>
      <x:bottom style="thin">
        <x:color rgb="FFBBC3CD"/>
      </x:bottom>
      <x:diagonal/>
    </x:border>
    <x:border>
      <x:left/>
      <x:right style="thin">
        <x:color rgb="FFBBC3CD"/>
      </x:right>
      <x:top style="thin">
        <x:color rgb="FFBBC3CD"/>
      </x:top>
      <x:bottom style="thin">
        <x:color rgb="FFBBC3CD"/>
      </x:bottom>
      <x:diagonal/>
    </x:border>
    <x:border>
      <x:left/>
      <x:right/>
      <x:top style="thin">
        <x:color rgb="FFBBC3CD"/>
      </x:top>
      <x:bottom/>
      <x:diagonal/>
    </x:border>
    <x:border>
      <x:left/>
      <x:right/>
      <x:top style="thin">
        <x:color rgb="FFBBC3CD"/>
      </x:top>
      <x:bottom style="thin">
        <x:color rgb="FFBBC3CD"/>
      </x:bottom>
      <x:diagonal/>
    </x:border>
  </x:borders>
  <x:cellStyleXfs count="1">
    <x:xf numFmtId="0" fontId="0" fillId="0" borderId="0"/>
  </x:cellStyleXfs>
  <x:cellXfs count="123">
    <x:xf numFmtId="0" fontId="0" fillId="0" borderId="0" xfId="0"/>
    <x:xf numFmtId="0" fontId="1" fillId="0" borderId="0" xfId="0" applyNumberFormat="1" applyFont="1" applyFill="1" applyBorder="1"/>
    <x:xf numFmtId="200" fontId="1" fillId="0" borderId="0" xfId="0" applyNumberFormat="1" applyFont="1" applyFill="1" applyBorder="1"/>
    <x:xf numFmtId="201" fontId="0"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200" fontId="2" fillId="0" borderId="0" xfId="0" applyNumberFormat="1" applyFont="1" applyFill="1" applyBorder="1"/>
    <x:xf numFmtId="20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201" fontId="4" fillId="0" borderId="0" xfId="0" applyNumberFormat="1" applyFont="1" applyFill="1" applyBorder="1"/>
    <x:xf numFmtId="200" fontId="5" fillId="0" borderId="0" xfId="0" applyNumberFormat="1" applyFont="1" applyFill="1" applyBorder="1"/>
    <x:xf numFmtId="200" fontId="6"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0" fontId="9" fillId="0" borderId="0" xfId="0" applyNumberFormat="1" applyFont="1" applyFill="1" applyBorder="1"/>
    <x:xf numFmtId="201"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200" fontId="9" fillId="0" borderId="0" xfId="0" applyNumberFormat="1" applyFont="1" applyFill="1" applyBorder="1" applyAlignment="1">
      <x:alignment vertical="center"/>
    </x:xf>
    <x:xf numFmtId="201" fontId="7"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200" fontId="10" fillId="0" borderId="0" xfId="0" applyNumberFormat="1" applyFont="1" applyFill="1" applyBorder="1"/>
    <x:xf numFmtId="200" fontId="11" fillId="0" borderId="0" xfId="0" applyNumberFormat="1" applyFont="1" applyFill="1" applyBorder="1"/>
    <x:xf numFmtId="200" fontId="11" fillId="0" borderId="0" xfId="0" applyNumberFormat="1" applyFont="1" applyFill="1" applyBorder="1" applyAlignment="1">
      <x:alignment vertical="center"/>
    </x:xf>
    <x:xf numFmtId="200" fontId="11"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0" fontId="14" fillId="0" borderId="0"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0" fontId="0" fillId="0" borderId="0" xfId="0" applyNumberFormat="1" applyFont="1" applyFill="1" applyBorder="1"/>
    <x:xf numFmtId="0" fontId="15" fillId="0" borderId="0" xfId="0" applyNumberFormat="1" applyFont="1" applyFill="1" applyBorder="1"/>
    <x:xf numFmtId="0" fontId="12" fillId="0" borderId="1" xfId="0" applyNumberFormat="1" applyFont="1" applyFill="1" applyBorder="1" applyAlignment="1">
      <x:alignment vertical="center" wrapText="0"/>
    </x:xf>
    <x:xf numFmtId="0" fontId="15" fillId="0" borderId="1" xfId="0" applyNumberFormat="1" applyFont="1" applyFill="1" applyBorder="1"/>
    <x:xf numFmtId="0" fontId="7" fillId="0" borderId="0" xfId="0" applyNumberFormat="1" applyFont="1" applyFill="1" applyBorder="1" applyAlignment="1">
      <x:alignment vertical="center" wrapText="1"/>
    </x:xf>
    <x:xf numFmtId="200" fontId="16" fillId="0" borderId="0" xfId="0" applyNumberFormat="1" applyFont="1" applyFill="1" applyBorder="1" applyAlignment="1">
      <x:alignment vertical="center" wrapText="0"/>
    </x:xf>
    <x:xf numFmtId="202" fontId="9"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1"/>
    </x:xf>
    <x:xf numFmtId="200" fontId="7" fillId="0" borderId="0" xfId="0" applyNumberFormat="1" applyFont="1" applyFill="1" applyBorder="1" applyAlignment="1">
      <x:alignment vertical="center" wrapText="1"/>
    </x:xf>
    <x:xf numFmtId="200" fontId="11" fillId="0" borderId="0" xfId="0" applyNumberFormat="1" applyFont="1" applyFill="1" applyBorder="1" applyAlignment="1">
      <x:alignment vertical="center" wrapText="1"/>
    </x:xf>
    <x:xf numFmtId="201" fontId="7" fillId="0"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2" fillId="0" borderId="2" xfId="0" applyNumberFormat="1" applyFont="1" applyFill="1" applyBorder="1" applyAlignment="1">
      <x:alignment vertical="center" wrapText="0"/>
    </x:xf>
    <x:xf numFmtId="0" fontId="12" fillId="0" borderId="3" xfId="0" applyNumberFormat="1" applyFont="1" applyFill="1" applyBorder="1" applyAlignment="1">
      <x:alignment vertical="center" wrapText="0"/>
    </x:xf>
    <x:xf numFmtId="0" fontId="7" fillId="0" borderId="4" xfId="0" applyNumberFormat="1" applyFont="1" applyFill="1" applyBorder="1" applyAlignment="1">
      <x:alignment vertical="center" wrapText="0"/>
    </x:xf>
    <x:xf numFmtId="200" fontId="8" fillId="0" borderId="5" xfId="0" applyNumberFormat="1" applyFont="1" applyFill="1" applyBorder="1" applyAlignment="1">
      <x:alignment vertical="center" wrapText="0"/>
    </x:xf>
    <x:xf numFmtId="0" fontId="12" fillId="0" borderId="6" xfId="0" applyNumberFormat="1" applyFont="1" applyFill="1" applyBorder="1" applyAlignment="1">
      <x:alignment vertical="center" wrapText="0"/>
    </x:xf>
    <x:xf numFmtId="200" fontId="16" fillId="0" borderId="7" xfId="0" applyNumberFormat="1" applyFont="1" applyFill="1" applyBorder="1" applyAlignment="1">
      <x:alignment vertical="center" wrapText="0"/>
    </x:xf>
    <x:xf numFmtId="0" fontId="7" fillId="0" borderId="8" xfId="0" applyNumberFormat="1" applyFont="1" applyFill="1" applyBorder="1" applyAlignment="1">
      <x:alignment vertical="center" wrapText="0"/>
    </x:xf>
    <x:xf numFmtId="200" fontId="8" fillId="0" borderId="9" xfId="0" applyNumberFormat="1" applyFont="1" applyFill="1" applyBorder="1" applyAlignment="1">
      <x:alignment vertical="center" wrapText="0"/>
    </x:xf>
    <x:xf numFmtId="0" fontId="12" fillId="0" borderId="4" xfId="0" applyNumberFormat="1" applyFont="1" applyFill="1" applyBorder="1" applyAlignment="1">
      <x:alignment vertical="center" wrapText="0"/>
    </x:xf>
    <x:xf numFmtId="200" fontId="16" fillId="0" borderId="5" xfId="0" applyNumberFormat="1" applyFont="1" applyFill="1" applyBorder="1" applyAlignment="1">
      <x:alignment vertical="center" wrapText="0"/>
    </x:xf>
    <x:xf numFmtId="200" fontId="9" fillId="0" borderId="5" xfId="0" applyNumberFormat="1" applyFont="1" applyFill="1" applyBorder="1" applyAlignment="1">
      <x:alignment vertical="center" wrapText="0"/>
    </x:xf>
    <x:xf numFmtId="202" fontId="9" fillId="0" borderId="5" xfId="0" applyNumberFormat="1" applyFont="1" applyFill="1" applyBorder="1" applyAlignment="1">
      <x:alignment vertical="center" wrapText="0"/>
    </x:xf>
    <x:xf numFmtId="0" fontId="7" fillId="0" borderId="6" xfId="0" applyNumberFormat="1" applyFont="1" applyFill="1" applyBorder="1" applyAlignment="1">
      <x:alignment vertical="center" wrapText="0"/>
    </x:xf>
    <x:xf numFmtId="202" fontId="9"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0"/>
    </x:xf>
    <x:xf numFmtId="200" fontId="16" fillId="0" borderId="9" xfId="0" applyNumberFormat="1" applyFont="1" applyFill="1" applyBorder="1" applyAlignment="1">
      <x:alignment vertical="center" wrapText="0"/>
    </x:xf>
    <x:xf numFmtId="0" fontId="12" fillId="0" borderId="10" xfId="0" applyNumberFormat="1" applyFont="1" applyFill="1" applyBorder="1" applyAlignment="1">
      <x:alignment vertical="center" wrapText="0"/>
    </x:xf>
    <x:xf numFmtId="0" fontId="7" fillId="0" borderId="4" xfId="0" applyNumberFormat="1" applyFont="1" applyFill="1" applyBorder="1" applyAlignment="1">
      <x:alignment vertical="center" wrapText="1"/>
    </x:xf>
    <x:xf numFmtId="0" fontId="7" fillId="0" borderId="5" xfId="0" applyNumberFormat="1" applyFont="1" applyFill="1" applyBorder="1" applyAlignment="1">
      <x:alignment vertical="center" wrapText="1"/>
    </x:xf>
    <x:xf numFmtId="0" fontId="7" fillId="0" borderId="6" xfId="0" applyNumberFormat="1" applyFont="1" applyFill="1" applyBorder="1" applyAlignment="1">
      <x:alignment vertical="center" wrapText="1"/>
    </x:xf>
    <x:xf numFmtId="201" fontId="7" fillId="0" borderId="11" xfId="0" applyNumberFormat="1" applyFont="1" applyFill="1" applyBorder="1" applyAlignment="1">
      <x:alignment vertical="center" wrapText="0"/>
    </x:xf>
    <x:xf numFmtId="200" fontId="8" fillId="0" borderId="11" xfId="0" applyNumberFormat="1" applyFont="1" applyFill="1" applyBorder="1" applyAlignment="1">
      <x:alignment vertical="center" wrapText="0"/>
    </x:xf>
    <x:xf numFmtId="0" fontId="7" fillId="0" borderId="7" xfId="0" applyNumberFormat="1" applyFont="1" applyFill="1" applyBorder="1" applyAlignment="1">
      <x:alignment vertical="center" wrapText="1"/>
    </x:xf>
    <x:xf numFmtId="0" fontId="7" fillId="0" borderId="12" xfId="0" applyNumberFormat="1" applyFont="1" applyFill="1" applyBorder="1" applyAlignment="1">
      <x:alignment vertical="center" wrapText="0"/>
    </x:xf>
    <x:xf numFmtId="200" fontId="8" fillId="0" borderId="13" xfId="0" applyNumberFormat="1" applyFont="1" applyFill="1" applyBorder="1" applyAlignment="1">
      <x:alignment vertical="center" wrapText="0"/>
    </x:xf>
    <x:xf numFmtId="200" fontId="7" fillId="0" borderId="14" xfId="0" applyNumberFormat="1" applyFont="1" applyFill="1" applyBorder="1" applyAlignment="1">
      <x:alignment vertical="center" wrapText="0"/>
    </x:xf>
    <x:xf numFmtId="0" fontId="7" fillId="0" borderId="9" xfId="0" applyNumberFormat="1" applyFont="1" applyFill="1" applyBorder="1" applyAlignment="1">
      <x:alignment vertical="center" wrapText="0"/>
    </x:xf>
    <x:xf numFmtId="0" fontId="7" fillId="0" borderId="5" xfId="0" applyNumberFormat="1" applyFont="1" applyFill="1" applyBorder="1" applyAlignment="1">
      <x:alignment vertical="center" wrapText="0"/>
    </x:xf>
    <x:xf numFmtId="202" fontId="9" fillId="0" borderId="11" xfId="0" applyNumberFormat="1" applyFont="1" applyFill="1" applyBorder="1" applyAlignment="1">
      <x:alignment vertical="center" wrapText="0"/>
    </x:xf>
    <x:xf numFmtId="0" fontId="7" fillId="0" borderId="7" xfId="0" applyNumberFormat="1" applyFont="1" applyFill="1" applyBorder="1" applyAlignment="1">
      <x:alignment vertical="center" wrapText="0"/>
    </x:xf>
    <x:xf numFmtId="200" fontId="9" fillId="0" borderId="7" xfId="0" applyNumberFormat="1" applyFont="1" applyFill="1" applyBorder="1" applyAlignment="1">
      <x:alignment vertical="center" wrapText="0"/>
    </x:xf>
    <x:xf numFmtId="200" fontId="8" fillId="0" borderId="11" xfId="0" applyNumberFormat="1" applyFont="1" applyFill="1" applyBorder="1" applyAlignment="1">
      <x:alignment vertical="center" wrapText="1"/>
    </x:xf>
    <x:xf numFmtId="0" fontId="7" fillId="0" borderId="11" xfId="0" applyNumberFormat="1" applyFont="1" applyFill="1" applyBorder="1" applyAlignment="1">
      <x:alignment vertical="center" wrapText="1"/>
    </x:xf>
    <x:xf numFmtId="200" fontId="9" fillId="0" borderId="13" xfId="0" applyNumberFormat="1" applyFont="1" applyFill="1" applyBorder="1" applyAlignment="1">
      <x:alignment vertical="center" wrapText="0"/>
    </x:xf>
    <x:xf numFmtId="200" fontId="8"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9" xfId="0" applyNumberFormat="1" applyFont="1" applyFill="1" applyBorder="1" applyAlignment="1">
      <x:alignment vertical="center" wrapText="1"/>
    </x:xf>
    <x:xf numFmtId="200" fontId="11" fillId="0" borderId="11" xfId="0" applyNumberFormat="1" applyFont="1" applyFill="1" applyBorder="1" applyAlignment="1">
      <x:alignment vertical="center" wrapText="1"/>
    </x:xf>
    <x:xf numFmtId="201" fontId="7" fillId="0" borderId="11" xfId="0" applyNumberFormat="1" applyFont="1" applyFill="1" applyBorder="1" applyAlignment="1">
      <x:alignment vertical="center" wrapText="1"/>
    </x:xf>
    <x:xf numFmtId="0" fontId="12" fillId="2" borderId="2" xfId="0" applyNumberFormat="1" applyFont="1" applyFill="1" applyBorder="1" applyAlignment="1">
      <x:alignment vertical="center" wrapText="0"/>
    </x:xf>
    <x:xf numFmtId="0" fontId="12" fillId="2" borderId="3" xfId="0" applyNumberFormat="1" applyFont="1" applyFill="1" applyBorder="1" applyAlignment="1">
      <x:alignment vertical="center" wrapText="0"/>
    </x:xf>
    <x:xf numFmtId="0" fontId="12" fillId="2" borderId="2" xfId="0" applyNumberFormat="1" applyFont="1" applyFill="1" applyBorder="1" applyAlignment="1">
      <x:alignment horizontal="center" vertical="center" wrapText="0"/>
    </x:xf>
    <x:xf numFmtId="0" fontId="12" fillId="2" borderId="3" xfId="0" applyNumberFormat="1" applyFont="1" applyFill="1" applyBorder="1" applyAlignment="1">
      <x:alignment horizontal="center" vertical="center" wrapText="0"/>
    </x:xf>
    <x:xf numFmtId="0" fontId="12" fillId="2" borderId="12" xfId="0" applyNumberFormat="1" applyFont="1" applyFill="1" applyBorder="1" applyAlignment="1">
      <x:alignment horizontal="center" vertical="center" wrapText="0"/>
    </x:xf>
    <x:xf numFmtId="0" fontId="12" fillId="2" borderId="13" xfId="0" applyNumberFormat="1" applyFont="1" applyFill="1" applyBorder="1" applyAlignment="1">
      <x:alignment horizontal="center" vertical="center" wrapText="0"/>
    </x:xf>
    <x:xf numFmtId="0" fontId="12" fillId="2" borderId="10" xfId="0" applyNumberFormat="1" applyFont="1" applyFill="1" applyBorder="1" applyAlignment="1">
      <x:alignment vertical="center" wrapText="0"/>
    </x:xf>
    <x:xf numFmtId="0" fontId="12" fillId="2" borderId="10" xfId="0" applyNumberFormat="1" applyFont="1" applyFill="1" applyBorder="1" applyAlignment="1">
      <x:alignment horizontal="center" vertical="center" wrapText="0"/>
    </x:xf>
    <x:xf numFmtId="0" fontId="12" fillId="2" borderId="15" xfId="0" applyNumberFormat="1" applyFont="1" applyFill="1" applyBorder="1" applyAlignment="1">
      <x:alignment horizontal="center" vertical="center" wrapText="0"/>
    </x:xf>
    <x:xf numFmtId="0" fontId="7" fillId="2" borderId="8" xfId="0" applyNumberFormat="1" applyFont="1" applyFill="1" applyBorder="1" applyAlignment="1">
      <x:alignment vertical="center" wrapText="0"/>
    </x:xf>
    <x:xf numFmtId="200" fontId="7" fillId="2" borderId="14" xfId="0" applyNumberFormat="1" applyFont="1" applyFill="1" applyBorder="1" applyAlignment="1">
      <x:alignment vertical="center" wrapText="0"/>
    </x:xf>
    <x:xf numFmtId="0" fontId="7" fillId="2" borderId="9" xfId="0" applyNumberFormat="1" applyFont="1" applyFill="1" applyBorder="1" applyAlignment="1">
      <x:alignment vertical="center" wrapText="0"/>
    </x:xf>
    <x:xf numFmtId="0" fontId="12" fillId="2" borderId="8" xfId="0" applyNumberFormat="1" applyFont="1" applyFill="1" applyBorder="1" applyAlignment="1">
      <x:alignment vertical="center" wrapText="0"/>
    </x:xf>
    <x:xf numFmtId="200" fontId="12" fillId="2" borderId="14" xfId="0" applyNumberFormat="1" applyFont="1" applyFill="1" applyBorder="1" applyAlignment="1">
      <x:alignment vertical="center" wrapText="0"/>
    </x:xf>
    <x:xf numFmtId="0" fontId="12" fillId="2" borderId="9" xfId="0" applyNumberFormat="1" applyFont="1" applyFill="1" applyBorder="1" applyAlignment="1">
      <x:alignment vertical="center" wrapText="0"/>
    </x:xf>
    <x:xf numFmtId="0" fontId="12" fillId="2" borderId="8" xfId="0" applyNumberFormat="1" applyFont="1" applyFill="1" applyBorder="1" applyAlignment="1">
      <x:alignment horizontal="center" vertical="center" wrapText="0"/>
    </x:xf>
    <x:xf numFmtId="200" fontId="12" fillId="2" borderId="14" xfId="0" applyNumberFormat="1" applyFont="1" applyFill="1" applyBorder="1" applyAlignment="1">
      <x:alignment horizontal="center" vertical="center" wrapText="0"/>
    </x:xf>
    <x:xf numFmtId="0" fontId="12" fillId="2" borderId="9" xfId="0" applyNumberFormat="1" applyFont="1" applyFill="1" applyBorder="1" applyAlignment="1">
      <x:alignment horizontal="center" vertical="center" wrapText="0"/>
    </x:xf>
    <x:xf numFmtId="200" fontId="12" fillId="2" borderId="15" xfId="0" applyNumberFormat="1" applyFont="1" applyFill="1" applyBorder="1" applyAlignment="1">
      <x:alignment horizontal="center" vertical="center" wrapText="0"/>
    </x:xf>
    <x:xf numFmtId="0" fontId="12" fillId="2" borderId="8" xfId="0" applyNumberFormat="1" applyFont="1" applyFill="1" applyBorder="1" applyAlignment="1">
      <x:alignment vertical="center" wrapText="1"/>
    </x:xf>
    <x:xf numFmtId="0" fontId="12" fillId="2" borderId="14" xfId="0" applyNumberFormat="1" applyFont="1" applyFill="1" applyBorder="1" applyAlignment="1">
      <x:alignment vertical="center" wrapText="1"/>
    </x:xf>
    <x:xf numFmtId="0" fontId="12" fillId="2" borderId="9" xfId="0" applyNumberFormat="1" applyFont="1" applyFill="1" applyBorder="1" applyAlignment="1">
      <x:alignment vertical="center" wrapText="1"/>
    </x:xf>
    <x:xf numFmtId="0" fontId="12" fillId="2" borderId="8" xfId="0" applyNumberFormat="1" applyFont="1" applyFill="1" applyBorder="1" applyAlignment="1">
      <x:alignment horizontal="center" vertical="center" wrapText="1"/>
    </x:xf>
    <x:xf numFmtId="0" fontId="12" fillId="2" borderId="14" xfId="0" applyNumberFormat="1" applyFont="1" applyFill="1" applyBorder="1" applyAlignment="1">
      <x:alignment horizontal="center" vertical="center" wrapText="1"/>
    </x:xf>
    <x:xf numFmtId="0" fontId="12" fillId="2" borderId="9" xfId="0" applyNumberFormat="1" applyFont="1" applyFill="1" applyBorder="1" applyAlignment="1">
      <x:alignment horizontal="center" vertical="center" wrapText="1"/>
    </x:xf>
    <x:xf numFmtId="0" fontId="12" fillId="2" borderId="12" xfId="0" applyNumberFormat="1" applyFont="1" applyFill="1" applyBorder="1" applyAlignment="1">
      <x:alignment horizontal="center" vertical="center" wrapText="1"/>
    </x:xf>
    <x:xf numFmtId="0" fontId="12" fillId="2" borderId="15" xfId="0" applyNumberFormat="1" applyFont="1" applyFill="1" applyBorder="1" applyAlignment="1">
      <x:alignment horizontal="center" vertical="center" wrapText="1"/>
    </x:xf>
    <x:xf numFmtId="0" fontId="12" fillId="2" borderId="13" xfId="0" applyNumberFormat="1" applyFont="1" applyFill="1" applyBorder="1" applyAlignment="1">
      <x:alignment horizontal="center" vertical="center" wrapText="1"/>
    </x:xf>
    <x:xf numFmtId="0" fontId="12" fillId="0" borderId="12" xfId="0" applyNumberFormat="1" applyFont="1" applyFill="1" applyBorder="1" applyAlignment="1">
      <x:alignment vertical="center" wrapText="0"/>
    </x:xf>
    <x:xf numFmtId="200" fontId="16" fillId="0" borderId="13" xfId="0" applyNumberFormat="1" applyFont="1" applyFill="1" applyBorder="1" applyAlignment="1">
      <x:alignment vertical="center" wrapText="0"/>
    </x:xf>
    <x:xf numFmtId="200" fontId="16" fillId="0" borderId="14"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fb5e8645a54f7a" /><Relationship Type="http://schemas.openxmlformats.org/officeDocument/2006/relationships/theme" Target="/xl/theme/theme1.xml" Id="R1983894896974e60" /><Relationship Type="http://schemas.openxmlformats.org/officeDocument/2006/relationships/sharedStrings" Target="/xl/sharedStrings.xml" Id="Ra4ae9c0c69eb497c" /><Relationship Type="http://schemas.openxmlformats.org/officeDocument/2006/relationships/worksheet" Target="/xl/worksheets/sheet1.xml" Id="R2142748c7ec04912" /><Relationship Type="http://schemas.openxmlformats.org/officeDocument/2006/relationships/worksheet" Target="/xl/worksheets/sheet2.xml" Id="Rbe5a76f5cca34193" /><Relationship Type="http://schemas.openxmlformats.org/officeDocument/2006/relationships/worksheet" Target="/xl/worksheets/sheet3.xml" Id="Re207e1ee820144af" /><Relationship Type="http://schemas.openxmlformats.org/officeDocument/2006/relationships/worksheet" Target="/xl/worksheets/sheet4.xml" Id="Rfe679703350b437d" /><Relationship Type="http://schemas.openxmlformats.org/officeDocument/2006/relationships/worksheet" Target="/xl/worksheets/sheet5.xml" Id="Rcd0ffb92faca4ff0" /></Relationships>
</file>

<file path=xl/drawings/_rels/drawing1.xml.rels>&#65279;<?xml version="1.0" encoding="utf-8"?><Relationships xmlns="http://schemas.openxmlformats.org/package/2006/relationships"><Relationship Type="http://schemas.openxmlformats.org/officeDocument/2006/relationships/chart" Target="/xl/drawings/charts/chart1.xml" Id="R71fcde538ff647e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1fcde538ff647e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1fdbc8fae0124d55" /></Relationships>
</file>

<file path=xl/worksheets/sheet1.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7" t="str">
        <x:v>Vistra cash generation and repayment</x:v>
      </x:c>
      <x:c r="B2" s="17"/>
      <x:c r="C2" s="17"/>
      <x:c r="D2" s="17"/>
    </x:row>
    <x:row r="3" ht="25" customHeight="1">
      <x:c r="A3" s="38" t="str">
        <x:v>Jan 1–Jun 30, 2026. USD millions. Historical cash flows, not a forecast.</x:v>
      </x:c>
      <x:c r="B3" s="17"/>
      <x:c r="C3" s="17"/>
      <x:c r="D3" s="17"/>
    </x:row>
    <x:row r="4" ht="25" customHeight="1">
      <x:c r="A4" s="17"/>
      <x:c r="B4" s="17"/>
      <x:c r="C4" s="17"/>
      <x:c r="D4" s="17"/>
    </x:row>
    <x:row r="5" ht="25" customHeight="1">
      <x:c r="A5" s="96" t="str">
        <x:v>Cash measure</x:v>
      </x:c>
      <x:c r="B5" s="97" t="str">
        <x:v>USD millions</x:v>
      </x:c>
      <x:c r="C5" s="42"/>
      <x:c r="D5" s="42"/>
      <x:c r="E5" s="43"/>
    </x:row>
    <x:row r="6" ht="28" customHeight="1">
      <x:c r="A6" s="54" t="str">
        <x:v>Operating cash flow</x:v>
      </x:c>
      <x:c r="B6" s="55" t="n">
        <x:f>IF(ISNUMBER(Data!B2),Data!B2,NA())</x:f>
        <x:v>2222000000</x:v>
      </x:c>
      <x:c r="C6" s="17"/>
      <x:c r="D6" s="44" t="str">
        <x:v>Capital spending includes nuclear fuel and LTSA prepayments.</x:v>
      </x:c>
    </x:row>
    <x:row r="7" ht="28" customHeight="1">
      <x:c r="A7" s="54" t="str">
        <x:v>Capital spending</x:v>
      </x:c>
      <x:c r="B7" s="55" t="n">
        <x:f>IF(ISNUMBER(Data!B3),Data!B3,NA())</x:f>
        <x:v>1572000000</x:v>
      </x:c>
      <x:c r="C7" s="17"/>
      <x:c r="D7" s="44"/>
    </x:row>
    <x:row r="8" ht="28" customHeight="1">
      <x:c r="A8" s="120" t="str">
        <x:v>Cash flow after capital spending</x:v>
      </x:c>
      <x:c r="B8" s="121" t="n">
        <x:f>B6-B7</x:f>
        <x:v>650000000</x:v>
      </x:c>
      <x:c r="C8" s="17"/>
      <x:c r="D8" s="44"/>
    </x:row>
    <x:row r="9" ht="28" customHeight="1">
      <x:c r="A9" s="17"/>
      <x:c r="B9" s="39"/>
      <x:c r="C9" s="17"/>
      <x:c r="D9" s="44" t="str">
        <x:v>Reported operating cash flow contains working-capital and margin movements; recurrence is not established.</x:v>
      </x:c>
    </x:row>
    <x:row r="10" ht="28" customHeight="1">
      <x:c r="A10" s="58" t="str">
        <x:v>Stock repurchases</x:v>
      </x:c>
      <x:c r="B10" s="59" t="n">
        <x:f>IF(ISNUMBER(Data!B21),Data!B21,NA())</x:f>
        <x:v>709000000</x:v>
      </x:c>
      <x:c r="C10" s="17"/>
      <x:c r="D10" s="44"/>
    </x:row>
    <x:row r="11" ht="28" customHeight="1">
      <x:c r="A11" s="54" t="str">
        <x:v>Common dividends</x:v>
      </x:c>
      <x:c r="B11" s="55" t="n">
        <x:f>IF(ISNUMBER(Data!B22),Data!B22,NA())</x:f>
        <x:v>154000000</x:v>
      </x:c>
      <x:c r="C11" s="17"/>
      <x:c r="D11" s="44"/>
    </x:row>
    <x:row r="12" ht="28" customHeight="1">
      <x:c r="A12" s="54" t="str">
        <x:v>Preferred dividends</x:v>
      </x:c>
      <x:c r="B12" s="55" t="n">
        <x:f>IF(ISNUMBER(Data!B23),Data!B23,NA())</x:f>
        <x:v>96000000</x:v>
      </x:c>
      <x:c r="C12" s="17"/>
      <x:c r="D12" s="44" t="str">
        <x:v>Operating cash flow is seasonal and weighted toward the second half; H1 is not annualized.</x:v>
      </x:c>
    </x:row>
    <x:row r="13" ht="28" customHeight="1">
      <x:c r="A13" s="66" t="str">
        <x:v>Buybacks and dividends</x:v>
      </x:c>
      <x:c r="B13" s="67" t="n">
        <x:f>SUM(B10:B12)</x:f>
        <x:v>959000000</x:v>
      </x:c>
      <x:c r="C13" s="17"/>
      <x:c r="D13" s="44"/>
    </x:row>
    <x:row r="14" ht="28" customHeight="1">
      <x:c r="A14" s="120" t="str">
        <x:v>After capex, buybacks and dividends</x:v>
      </x:c>
      <x:c r="B14" s="121" t="n">
        <x:f>B8-B13</x:f>
        <x:v>-309000000</x:v>
      </x:c>
      <x:c r="C14" s="17"/>
      <x:c r="D14" s="44"/>
    </x:row>
    <x:row r="15" ht="28" customHeight="1">
      <x:c r="A15" s="17"/>
      <x:c r="B15" s="39"/>
      <x:c r="C15" s="17"/>
      <x:c r="D15" s="44" t="str">
        <x:v>Nuveen interest already included in operating cash flow is not subtracted again.</x:v>
      </x:c>
    </x:row>
    <x:row r="16" ht="28" customHeight="1">
      <x:c r="A16" s="58" t="str">
        <x:v>Debt issuance cash proceeds</x:v>
      </x:c>
      <x:c r="B16" s="59" t="n">
        <x:f>IF(ISNUMBER(Data!B13),Data!B13,NA())</x:f>
        <x:v>6422000000</x:v>
      </x:c>
      <x:c r="C16" s="17"/>
      <x:c r="D16" s="44"/>
    </x:row>
    <x:row r="17" ht="28" customHeight="1">
      <x:c r="A17" s="54" t="str">
        <x:v>Corporate revolver borrowings</x:v>
      </x:c>
      <x:c r="B17" s="55" t="n">
        <x:f>IF(ISNUMBER(Data!B16),Data!B16,NA())</x:f>
        <x:v>400000000</x:v>
      </x:c>
      <x:c r="C17" s="17"/>
      <x:c r="D17" s="44"/>
    </x:row>
    <x:row r="18" ht="28" customHeight="1">
      <x:c r="A18" s="54" t="str">
        <x:v>Commodity-linked borrowings</x:v>
      </x:c>
      <x:c r="B18" s="55" t="n">
        <x:f>IF(ISNUMBER(Data!B18),Data!B18,NA())</x:f>
        <x:v>0</x:v>
      </x:c>
      <x:c r="C18" s="17"/>
      <x:c r="D18" s="44" t="str">
        <x:v>Trust-security turnover is not gross cash available to fund corporate debt.</x:v>
      </x:c>
    </x:row>
    <x:row r="19" ht="28" customHeight="1">
      <x:c r="A19" s="54" t="str">
        <x:v>Debt repayments and repurchases</x:v>
      </x:c>
      <x:c r="B19" s="55" t="n">
        <x:f>IF(ISNUMBER(Data!B14),Data!B14,NA())</x:f>
        <x:v>3859000000</x:v>
      </x:c>
      <x:c r="C19" s="17"/>
      <x:c r="D19" s="44"/>
    </x:row>
    <x:row r="20" ht="28" customHeight="1">
      <x:c r="A20" s="54" t="str">
        <x:v>Revolver repayments</x:v>
      </x:c>
      <x:c r="B20" s="55" t="n">
        <x:f>IF(ISNUMBER(Data!B17),Data!B17,NA())</x:f>
        <x:v>780000000</x:v>
      </x:c>
      <x:c r="C20" s="17"/>
      <x:c r="D20" s="44"/>
    </x:row>
    <x:row r="21" ht="28" customHeight="1">
      <x:c r="A21" s="54" t="str">
        <x:v>Commodity-linked repayments</x:v>
      </x:c>
      <x:c r="B21" s="55" t="n">
        <x:f>IF(ISNUMBER(Data!B19),Data!B19,NA())</x:f>
        <x:v>1420000000</x:v>
      </x:c>
      <x:c r="C21" s="17"/>
      <x:c r="D21" s="44" t="str">
        <x:v>Cash after capex fell short of buybacks and dividends by 309M in this historical period.</x:v>
      </x:c>
    </x:row>
    <x:row r="22" ht="28" customHeight="1">
      <x:c r="A22" s="54" t="str">
        <x:v>Net receivables financing cash flow</x:v>
      </x:c>
      <x:c r="B22" s="55" t="n">
        <x:f>IF(ISNUMBER(Data!B15),Data!B15,NA())</x:f>
        <x:v>-925000000</x:v>
      </x:c>
      <x:c r="C22" s="17"/>
      <x:c r="D22" s="44"/>
    </x:row>
    <x:row r="23" ht="28" customHeight="1">
      <x:c r="A23" s="120" t="str">
        <x:v>Net debt cash flow</x:v>
      </x:c>
      <x:c r="B23" s="121" t="n">
        <x:f>SUM(B16:B18)-SUM(B19:B21)+B22</x:f>
        <x:v>-162000000</x:v>
      </x:c>
      <x:c r="C23" s="17"/>
      <x:c r="D23" s="44"/>
    </x:row>
    <x:row r="24" ht="28" customHeight="1">
      <x:c r="A24" s="17"/>
      <x:c r="B24" s="39"/>
      <x:c r="C24" s="17"/>
      <x:c r="D24" s="44"/>
    </x:row>
    <x:row r="25" ht="28" customHeight="1">
      <x:c r="A25" s="58" t="str">
        <x:v>Other investing cash flow</x:v>
      </x:c>
      <x:c r="B25" s="59" t="n">
        <x:f>-IF(ISNUMBER(Data!B4),Data!B4,NA())+IF(ISNUMBER(Data!B5),Data!B5,NA())-IF(ISNUMBER(Data!B6),Data!B6,NA())+IF(ISNUMBER(Data!B7),Data!B7,NA())-IF(ISNUMBER(Data!B8),Data!B8,NA())+IF(ISNUMBER(Data!B9),Data!B9,NA())+IF(ISNUMBER(Data!B10),Data!B10,NA())-IF(ISNUMBER(Data!B11),Data!B11,NA())</x:f>
        <x:v>293000000</x:v>
      </x:c>
      <x:c r="C25" s="17"/>
      <x:c r="D25" s="17"/>
    </x:row>
    <x:row r="26" ht="28" customHeight="1">
      <x:c r="A26" s="54" t="str">
        <x:v>Debt issuance costs</x:v>
      </x:c>
      <x:c r="B26" s="55" t="n">
        <x:f>IF(ISNUMBER(Data!B20),Data!B20,NA())</x:f>
        <x:v>72000000</x:v>
      </x:c>
      <x:c r="C26" s="17"/>
      <x:c r="D26" s="17"/>
    </x:row>
    <x:row r="27" ht="28" customHeight="1">
      <x:c r="A27" s="54" t="str">
        <x:v>Share compensation tax withholding</x:v>
      </x:c>
      <x:c r="B27" s="55" t="n">
        <x:f>IF(ISNUMBER(Data!B24),Data!B24,NA())</x:f>
        <x:v>69000000</x:v>
      </x:c>
      <x:c r="C27" s="17"/>
      <x:c r="D27" s="17"/>
    </x:row>
    <x:row r="28" ht="28" customHeight="1">
      <x:c r="A28" s="54" t="str">
        <x:v>Nuveen principal paid</x:v>
      </x:c>
      <x:c r="B28" s="55" t="n">
        <x:f>IF(ISNUMBER(Data!B25),Data!B25,NA())</x:f>
        <x:v>19000000</x:v>
      </x:c>
      <x:c r="C28" s="17"/>
      <x:c r="D28" s="17"/>
    </x:row>
    <x:row r="29" ht="28" customHeight="1">
      <x:c r="A29" s="54" t="str">
        <x:v>Other financing cash flow</x:v>
      </x:c>
      <x:c r="B29" s="55" t="n">
        <x:f>IF(ISNUMBER(Data!B26),Data!B26,NA())</x:f>
        <x:v>-3000000</x:v>
      </x:c>
      <x:c r="C29" s="17"/>
      <x:c r="D29" s="17"/>
    </x:row>
    <x:row r="30" ht="28" customHeight="1">
      <x:c r="A30" s="66" t="str">
        <x:v>Calculated net investing cash flow</x:v>
      </x:c>
      <x:c r="B30" s="67" t="n">
        <x:f>B25-B7</x:f>
        <x:v>-1279000000</x:v>
      </x:c>
      <x:c r="C30" s="17"/>
      <x:c r="D30" s="17"/>
    </x:row>
    <x:row r="31" ht="28" customHeight="1">
      <x:c r="A31" s="54" t="str">
        <x:v>Reported net investing cash flow</x:v>
      </x:c>
      <x:c r="B31" s="55" t="n">
        <x:f>IF(ISNUMBER(Data!B12),Data!B12,NA())</x:f>
        <x:v>-1279000000</x:v>
      </x:c>
      <x:c r="C31" s="17"/>
      <x:c r="D31" s="17"/>
    </x:row>
    <x:row r="32" ht="28" customHeight="1">
      <x:c r="A32" s="54" t="str">
        <x:v>Investing reconciliation difference</x:v>
      </x:c>
      <x:c r="B32" s="63" t="n">
        <x:f>B30-B31</x:f>
        <x:v>0</x:v>
      </x:c>
      <x:c r="C32" s="17"/>
      <x:c r="D32" s="17"/>
    </x:row>
    <x:row r="33" ht="28" customHeight="1">
      <x:c r="A33" s="66" t="str">
        <x:v>Calculated net financing cash flow</x:v>
      </x:c>
      <x:c r="B33" s="67" t="n">
        <x:f>B23-B13-B26-B27-B28+B29</x:f>
        <x:v>-1284000000</x:v>
      </x:c>
      <x:c r="C33" s="17"/>
      <x:c r="D33" s="17"/>
    </x:row>
    <x:row r="34" ht="28" customHeight="1">
      <x:c r="A34" s="54" t="str">
        <x:v>Reported net financing cash flow</x:v>
      </x:c>
      <x:c r="B34" s="55" t="n">
        <x:f>IF(ISNUMBER(Data!B27),Data!B27,NA())</x:f>
        <x:v>-1284000000</x:v>
      </x:c>
      <x:c r="C34" s="17"/>
      <x:c r="D34" s="17"/>
    </x:row>
    <x:row r="35" ht="28" customHeight="1">
      <x:c r="A35" s="64" t="str">
        <x:v>Financing reconciliation difference</x:v>
      </x:c>
      <x:c r="B35" s="65" t="n">
        <x:f>B33-B34</x:f>
        <x:v>0</x:v>
      </x:c>
      <x:c r="C35" s="17"/>
      <x:c r="D35" s="17"/>
    </x:row>
    <x:row r="36" ht="28" customHeight="1">
      <x:c r="A36" s="17"/>
      <x:c r="B36" s="39"/>
      <x:c r="C36" s="17"/>
      <x:c r="D36" s="17"/>
    </x:row>
    <x:row r="37" ht="28" customHeight="1">
      <x:c r="A37" s="66" t="str">
        <x:v>Calculated cash change</x:v>
      </x:c>
      <x:c r="B37" s="67" t="n">
        <x:f>B6+B30+B33</x:f>
        <x:v>-341000000</x:v>
      </x:c>
      <x:c r="C37" s="17"/>
      <x:c r="D37" s="17"/>
    </x:row>
    <x:row r="38" ht="28" customHeight="1">
      <x:c r="A38" s="54" t="str">
        <x:v>Reported cash change</x:v>
      </x:c>
      <x:c r="B38" s="55" t="n">
        <x:f>IF(ISNUMBER(Data!B28),Data!B28,NA())</x:f>
        <x:v>-341000000</x:v>
      </x:c>
      <x:c r="C38" s="17"/>
      <x:c r="D38" s="17"/>
    </x:row>
    <x:row r="39" ht="28" customHeight="1">
      <x:c r="A39" s="64" t="str">
        <x:v>Cash-change reconciliation difference</x:v>
      </x:c>
      <x:c r="B39" s="65" t="n">
        <x:f>B37-B38</x:f>
        <x:v>0</x:v>
      </x:c>
      <x:c r="C39" s="17"/>
      <x:c r="D39" s="17"/>
    </x:row>
    <x:row r="40" ht="28" customHeight="1">
      <x:c r="A40" s="17"/>
      <x:c r="B40" s="39"/>
      <x:c r="C40" s="17"/>
      <x:c r="D40" s="17"/>
    </x:row>
    <x:row r="41" ht="28" customHeight="1">
      <x:c r="A41" s="58" t="str">
        <x:v>Opening cash including restricted cash</x:v>
      </x:c>
      <x:c r="B41" s="59" t="n">
        <x:f>IF(ISNUMBER(Data!B29),Data!B29,NA())</x:f>
        <x:v>822000000</x:v>
      </x:c>
      <x:c r="C41" s="17"/>
      <x:c r="D41" s="17"/>
    </x:row>
    <x:row r="42" ht="28" customHeight="1">
      <x:c r="A42" s="66" t="str">
        <x:v>Calculated ending cash including restricted cash</x:v>
      </x:c>
      <x:c r="B42" s="67" t="n">
        <x:f>B41+B37</x:f>
        <x:v>481000000</x:v>
      </x:c>
      <x:c r="C42" s="17"/>
      <x:c r="D42" s="17"/>
    </x:row>
    <x:row r="43" ht="28" customHeight="1">
      <x:c r="A43" s="54" t="str">
        <x:v>Reported ending cash including restricted cash</x:v>
      </x:c>
      <x:c r="B43" s="55" t="n">
        <x:f>IF(ISNUMBER(Data!B30),Data!B30,NA())</x:f>
        <x:v>481000000</x:v>
      </x:c>
      <x:c r="C43" s="17"/>
      <x:c r="D43" s="17"/>
    </x:row>
    <x:row r="44" ht="28" customHeight="1">
      <x:c r="A44" s="54" t="str">
        <x:v>Ending-cash reconciliation difference</x:v>
      </x:c>
      <x:c r="B44" s="63" t="n">
        <x:f>B42-B43</x:f>
        <x:v>0</x:v>
      </x:c>
      <x:c r="C44" s="17"/>
      <x:c r="D44" s="17"/>
    </x:row>
    <x:row r="45" ht="28" customHeight="1">
      <x:c r="A45" s="54" t="str">
        <x:v>Current restricted cash</x:v>
      </x:c>
      <x:c r="B45" s="55" t="n">
        <x:f>IF(ISNUMBER(Data!B32),Data!B32,NA())</x:f>
        <x:v>41000000</x:v>
      </x:c>
      <x:c r="C45" s="17"/>
      <x:c r="D45" s="17"/>
    </x:row>
    <x:row r="46" ht="28" customHeight="1">
      <x:c r="A46" s="54" t="str">
        <x:v>Noncurrent restricted cash</x:v>
      </x:c>
      <x:c r="B46" s="55" t="n">
        <x:f>IF(ISNUMBER(Data!B33),Data!B33,NA())</x:f>
        <x:v>5000000</x:v>
      </x:c>
      <x:c r="C46" s="17"/>
      <x:c r="D46" s="17"/>
    </x:row>
    <x:row r="47" ht="28" customHeight="1">
      <x:c r="A47" s="66" t="str">
        <x:v>Cash excluding restricted cash</x:v>
      </x:c>
      <x:c r="B47" s="67" t="n">
        <x:f>B42-SUM(B45:B46)</x:f>
        <x:v>435000000</x:v>
      </x:c>
      <x:c r="C47" s="17"/>
      <x:c r="D47" s="17"/>
    </x:row>
    <x:row r="48" ht="28" customHeight="1">
      <x:c r="A48" s="54" t="str">
        <x:v>Reported cash and equivalents</x:v>
      </x:c>
      <x:c r="B48" s="55" t="n">
        <x:f>IF(ISNUMBER(Data!B31),Data!B31,NA())</x:f>
        <x:v>435000000</x:v>
      </x:c>
      <x:c r="C48" s="17"/>
      <x:c r="D48" s="17"/>
    </x:row>
    <x:row r="49" ht="28" customHeight="1">
      <x:c r="A49" s="64" t="str">
        <x:v>Balance-sheet cash reconciliation difference</x:v>
      </x:c>
      <x:c r="B49" s="65" t="n">
        <x:f>B47-B48</x:f>
        <x:v>0</x:v>
      </x:c>
      <x:c r="C49" s="17"/>
      <x:c r="D49" s="17"/>
    </x:row>
    <x:row r="50">
      <x:c r="B50" s="40"/>
    </x:row>
    <x:row r="51">
      <x:c r="B51" s="40"/>
    </x:row>
    <x:row r="52">
      <x:c r="B52" s="40"/>
    </x:row>
    <x:row r="53">
      <x:c r="B53" s="40"/>
    </x:row>
    <x:row r="54">
      <x:c r="B54" s="40"/>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dated repayment review</x:v>
      </x:c>
      <x:c r="B2" s="17"/>
      <x:c r="C2" s="17"/>
      <x:c r="D2" s="17"/>
      <x:c r="E2" s="17"/>
      <x:c r="F2" s="17"/>
      <x:c r="G2" s="17"/>
      <x:c r="H2" s="17"/>
      <x:c r="I2" s="17"/>
    </x:row>
    <x:row r="3" ht="25" customHeight="1">
      <x:c r="A3" s="38" t="str">
        <x:v>Selected June 30 balances. USD millions. Principal except Nuveen includes interest.</x:v>
      </x:c>
      <x:c r="B3" s="17"/>
      <x:c r="C3" s="17"/>
      <x:c r="D3" s="17"/>
      <x:c r="E3" s="17"/>
      <x:c r="F3" s="17"/>
      <x:c r="G3" s="17"/>
      <x:c r="H3" s="17"/>
      <x:c r="I3" s="17"/>
    </x:row>
    <x:row r="4" ht="25" customHeight="1">
      <x:c r="A4" s="17"/>
      <x:c r="B4" s="17"/>
      <x:c r="C4" s="17"/>
      <x:c r="D4" s="17"/>
      <x:c r="E4" s="17"/>
      <x:c r="F4" s="17"/>
      <x:c r="G4" s="17"/>
      <x:c r="H4" s="17"/>
      <x:c r="I4" s="17"/>
    </x:row>
    <x:row r="5" ht="25" customHeight="1">
      <x:c r="A5" s="96" t="str">
        <x:v>Obligation</x:v>
      </x:c>
      <x:c r="B5" s="100" t="str">
        <x:v>Due from</x:v>
      </x:c>
      <x:c r="C5" s="100" t="str">
        <x:v>Due through</x:v>
      </x:c>
      <x:c r="D5" s="100" t="str">
        <x:v>USD millions</x:v>
      </x:c>
      <x:c r="E5" s="97" t="str">
        <x:v>Basis and condition</x:v>
      </x:c>
      <x:c r="F5" s="17"/>
      <x:c r="G5" s="17"/>
      <x:c r="H5" s="17"/>
      <x:c r="I5" s="17"/>
    </x:row>
    <x:row r="6" ht="70" customHeight="1">
      <x:c r="A6" s="69" t="str">
        <x:v>Pulaski bridge loan</x:v>
      </x:c>
      <x:c r="B6" s="29" t="d">
        <x:v>2026-12-03T00:00:00.000Z</x:v>
      </x:c>
      <x:c r="C6" s="29" t="d">
        <x:v>2026-12-03T00:00:00.000Z</x:v>
      </x:c>
      <x:c r="D6" s="30" t="n">
        <x:f>IF(ISNUMBER(Data!B43),Data!B43,NA())</x:f>
        <x:v>261000000</x:v>
      </x:c>
      <x:c r="E6" s="70" t="str">
        <x:v>Principal balance; Vistra guarantees repayment. Expected investment tax credits are not cash already available.</x:v>
      </x:c>
      <x:c r="F6" s="17"/>
      <x:c r="G6" s="17"/>
      <x:c r="H6" s="17"/>
      <x:c r="I6" s="17"/>
    </x:row>
    <x:row r="7" ht="70" customHeight="1">
      <x:c r="A7" s="69" t="str">
        <x:v>Pulaski construction loan</x:v>
      </x:c>
      <x:c r="B7" s="29" t="d">
        <x:v>2026-12-01T00:00:00.000Z</x:v>
      </x:c>
      <x:c r="C7" s="29" t="d">
        <x:v>2026-12-31T00:00:00.000Z</x:v>
      </x:c>
      <x:c r="D7" s="30" t="n">
        <x:f>IF(ISNUMBER(Data!B45),Data!B45,NA())</x:f>
        <x:v>297000000</x:v>
      </x:c>
      <x:c r="E7" s="70" t="str">
        <x:v>Outstanding construction balance matures in December. Conversion to a term loan requires commercial operation and other conditions; completion is not assumed.</x:v>
      </x:c>
      <x:c r="F7" s="17"/>
      <x:c r="G7" s="17"/>
      <x:c r="H7" s="17"/>
      <x:c r="I7" s="17"/>
    </x:row>
    <x:row r="8" ht="70" customHeight="1">
      <x:c r="A8" s="69" t="str">
        <x:v>5.050% senior notes</x:v>
      </x:c>
      <x:c r="B8" s="29" t="d">
        <x:v>2026-12-30T00:00:00.000Z</x:v>
      </x:c>
      <x:c r="C8" s="29" t="d">
        <x:v>2026-12-30T00:00:00.000Z</x:v>
      </x:c>
      <x:c r="D8" s="30" t="n">
        <x:f>IF(ISNUMBER(Data!B50),Data!B50,NA())</x:f>
        <x:v>500000000</x:v>
      </x:c>
      <x:c r="E8" s="70" t="str">
        <x:v>Vistra Operations principal; coupon interest is additional.</x:v>
      </x:c>
      <x:c r="F8" s="17"/>
      <x:c r="G8" s="17"/>
      <x:c r="H8" s="17"/>
      <x:c r="I8" s="17"/>
    </x:row>
    <x:row r="9" ht="70" customHeight="1">
      <x:c r="A9" s="69" t="str">
        <x:v>Nuveen final payment</x:v>
      </x:c>
      <x:c r="B9" s="29" t="d">
        <x:v>2026-12-31T00:00:00.000Z</x:v>
      </x:c>
      <x:c r="C9" s="29" t="d">
        <x:v>2026-12-31T00:00:00.000Z</x:v>
      </x:c>
      <x:c r="D9" s="30" t="n">
        <x:f>IF(ISNUMBER(Data!B49),Data!B49,NA())</x:f>
        <x:v>631000000</x:v>
      </x:c>
      <x:c r="E9" s="70" t="str">
        <x:v>Principal and interest combined. The 613M carrying liability is the same obligation, not an additional payment.</x:v>
      </x:c>
      <x:c r="F9" s="17"/>
      <x:c r="G9" s="17"/>
      <x:c r="H9" s="17"/>
      <x:c r="I9" s="17"/>
    </x:row>
    <x:row r="10" ht="70" customHeight="1">
      <x:c r="A10" s="69" t="str">
        <x:v>3.700% senior notes</x:v>
      </x:c>
      <x:c r="B10" s="29" t="d">
        <x:v>2027-01-30T00:00:00.000Z</x:v>
      </x:c>
      <x:c r="C10" s="29" t="d">
        <x:v>2027-01-30T00:00:00.000Z</x:v>
      </x:c>
      <x:c r="D10" s="30" t="n">
        <x:f>IF(ISNUMBER(Data!B51),Data!B51,NA())</x:f>
        <x:v>800000000</x:v>
      </x:c>
      <x:c r="E10" s="70" t="str">
        <x:v>Vistra Operations principal; coupon interest is additional.</x:v>
      </x:c>
      <x:c r="F10" s="17"/>
      <x:c r="G10" s="17"/>
      <x:c r="H10" s="17"/>
      <x:c r="I10" s="17"/>
    </x:row>
    <x:row r="11" ht="70" customHeight="1">
      <x:c r="A11" s="71" t="str">
        <x:v>5.000% senior notes</x:v>
      </x:c>
      <x:c r="B11" s="72" t="d">
        <x:v>2027-07-31T00:00:00.000Z</x:v>
      </x:c>
      <x:c r="C11" s="72" t="d">
        <x:v>2027-07-31T00:00:00.000Z</x:v>
      </x:c>
      <x:c r="D11" s="73" t="n">
        <x:f>IF(ISNUMBER(Data!B52),Data!B52,NA())</x:f>
        <x:v>1300000000</x:v>
      </x:c>
      <x:c r="E11" s="74" t="str">
        <x:v>Vistra Operations principal; coupon interest is additional.</x:v>
      </x:c>
      <x:c r="F11" s="17"/>
      <x:c r="G11" s="17"/>
      <x:c r="H11" s="17"/>
      <x:c r="I11" s="17"/>
    </x:row>
    <x:row r="12" ht="25" customHeight="1">
      <x:c r="A12" s="17"/>
      <x:c r="B12" s="39"/>
      <x:c r="C12" s="17"/>
      <x:c r="D12" s="17"/>
      <x:c r="E12" s="17"/>
      <x:c r="F12" s="17"/>
      <x:c r="G12" s="17"/>
      <x:c r="H12" s="17"/>
      <x:c r="I12" s="17"/>
    </x:row>
    <x:row r="13" ht="25" customHeight="1">
      <x:c r="A13" s="17"/>
      <x:c r="B13" s="39"/>
      <x:c r="C13" s="17"/>
      <x:c r="D13" s="17"/>
      <x:c r="E13" s="17"/>
      <x:c r="F13" s="17"/>
      <x:c r="G13" s="17"/>
      <x:c r="H13" s="17"/>
      <x:c r="I13" s="17"/>
    </x:row>
    <x:row r="14" ht="25" customHeight="1">
      <x:c r="A14" s="17"/>
      <x:c r="B14" s="39"/>
      <x:c r="C14" s="17"/>
      <x:c r="D14" s="17"/>
      <x:c r="E14" s="17"/>
      <x:c r="F14" s="17"/>
      <x:c r="G14" s="17"/>
      <x:c r="H14" s="17"/>
      <x:c r="I14" s="17"/>
    </x:row>
    <x:row r="15" ht="25" customHeight="1">
      <x:c r="A15" s="17"/>
      <x:c r="B15" s="39"/>
      <x:c r="C15" s="17"/>
      <x:c r="D15" s="17"/>
      <x:c r="E15" s="17"/>
      <x:c r="F15" s="17"/>
      <x:c r="G15" s="17"/>
      <x:c r="H15" s="17"/>
      <x:c r="I15" s="17"/>
    </x:row>
    <x:row r="16" ht="25" customHeight="1">
      <x:c r="A16" s="17"/>
      <x:c r="B16" s="39"/>
      <x:c r="C16" s="17"/>
      <x:c r="D16" s="17"/>
      <x:c r="E16" s="17"/>
      <x:c r="F16" s="17"/>
      <x:c r="G16" s="17"/>
      <x:c r="H16" s="17"/>
      <x:c r="I16" s="17"/>
    </x:row>
    <x:row r="17" ht="25" customHeight="1">
      <x:c r="A17" s="17"/>
      <x:c r="B17" s="39"/>
      <x:c r="C17" s="17"/>
      <x:c r="D17" s="17"/>
      <x:c r="E17" s="17"/>
      <x:c r="F17" s="17"/>
      <x:c r="G17" s="17"/>
      <x:c r="H17" s="17"/>
      <x:c r="I17" s="17"/>
    </x:row>
    <x:row r="18" ht="25" customHeight="1">
      <x:c r="A18" s="17"/>
      <x:c r="B18" s="39"/>
      <x:c r="C18" s="17"/>
      <x:c r="D18" s="17"/>
      <x:c r="E18" s="17"/>
      <x:c r="F18" s="17"/>
      <x:c r="G18" s="17"/>
      <x:c r="H18" s="17"/>
      <x:c r="I18" s="17"/>
    </x:row>
    <x:row r="19" ht="25" customHeight="1">
      <x:c r="A19" s="17"/>
      <x:c r="B19" s="39"/>
      <x:c r="C19" s="17"/>
      <x:c r="D19" s="17"/>
      <x:c r="E19" s="17"/>
      <x:c r="F19" s="17"/>
      <x:c r="G19" s="17"/>
      <x:c r="H19" s="17"/>
      <x:c r="I19" s="17"/>
    </x:row>
    <x:row r="20" ht="25" customHeight="1">
      <x:c r="A20" s="17"/>
      <x:c r="B20" s="39"/>
      <x:c r="C20" s="17"/>
      <x:c r="D20" s="17"/>
      <x:c r="E20" s="17"/>
      <x:c r="F20" s="17"/>
      <x:c r="G20" s="17"/>
      <x:c r="H20" s="17"/>
      <x:c r="I20" s="17"/>
    </x:row>
    <x:row r="21" ht="25" customHeight="1">
      <x:c r="A21" s="17"/>
      <x:c r="B21" s="39"/>
      <x:c r="C21" s="17"/>
      <x:c r="D21" s="17"/>
      <x:c r="E21" s="17"/>
      <x:c r="F21" s="17"/>
      <x:c r="G21" s="17"/>
      <x:c r="H21" s="17"/>
      <x:c r="I21" s="17"/>
    </x:row>
    <x:row r="22" ht="25" customHeight="1">
      <x:c r="A22" s="17"/>
      <x:c r="B22" s="39"/>
      <x:c r="C22" s="17"/>
      <x:c r="D22" s="17"/>
      <x:c r="E22" s="17"/>
      <x:c r="F22" s="17"/>
      <x:c r="G22" s="17"/>
      <x:c r="H22" s="17"/>
      <x:c r="I22" s="17"/>
    </x:row>
    <x:row r="23" ht="25" customHeight="1">
      <x:c r="A23" s="17"/>
      <x:c r="B23" s="39"/>
      <x:c r="C23" s="17"/>
      <x:c r="D23" s="17"/>
      <x:c r="E23" s="17"/>
      <x:c r="F23" s="17"/>
      <x:c r="G23" s="17"/>
      <x:c r="H23" s="17"/>
      <x:c r="I23" s="17"/>
    </x:row>
    <x:row r="24" ht="25" customHeight="1">
      <x:c r="A24" s="17"/>
      <x:c r="B24" s="39"/>
      <x:c r="C24" s="17"/>
      <x:c r="D24" s="17"/>
      <x:c r="E24" s="17"/>
      <x:c r="F24" s="17"/>
      <x:c r="G24" s="17"/>
      <x:c r="H24" s="96" t="str">
        <x:v>Selected payment</x:v>
      </x:c>
      <x:c r="I24" s="97" t="str">
        <x:v>USD</x:v>
      </x:c>
    </x:row>
    <x:row r="25" ht="25" customHeight="1">
      <x:c r="A25" s="17"/>
      <x:c r="B25" s="39"/>
      <x:c r="C25" s="17"/>
      <x:c r="D25" s="17"/>
      <x:c r="E25" s="17"/>
      <x:c r="F25" s="17"/>
      <x:c r="G25" s="17"/>
      <x:c r="H25" s="54" t="str">
        <x:v>Dec 3, 2026
Pulaski bridge</x:v>
      </x:c>
      <x:c r="I25" s="62" t="n">
        <x:f>D6</x:f>
        <x:v>261000000</x:v>
      </x:c>
    </x:row>
    <x:row r="26" ht="25" customHeight="1">
      <x:c r="A26" s="17"/>
      <x:c r="B26" s="39"/>
      <x:c r="C26" s="17"/>
      <x:c r="D26" s="17"/>
      <x:c r="E26" s="17"/>
      <x:c r="F26" s="17"/>
      <x:c r="G26" s="17"/>
      <x:c r="H26" s="54" t="str">
        <x:v>Dec 2026
Construction</x:v>
      </x:c>
      <x:c r="I26" s="62" t="n">
        <x:f>D7</x:f>
        <x:v>297000000</x:v>
      </x:c>
    </x:row>
    <x:row r="27" ht="25" customHeight="1">
      <x:c r="A27" s="17"/>
      <x:c r="B27" s="39"/>
      <x:c r="C27" s="17"/>
      <x:c r="D27" s="17"/>
      <x:c r="E27" s="17"/>
      <x:c r="F27" s="17"/>
      <x:c r="G27" s="17"/>
      <x:c r="H27" s="54" t="str">
        <x:v>Dec 30, 2026
Senior notes</x:v>
      </x:c>
      <x:c r="I27" s="62" t="n">
        <x:f>D8</x:f>
        <x:v>500000000</x:v>
      </x:c>
    </x:row>
    <x:row r="28" ht="25" customHeight="1">
      <x:c r="A28" s="17"/>
      <x:c r="B28" s="39"/>
      <x:c r="C28" s="17"/>
      <x:c r="D28" s="17"/>
      <x:c r="E28" s="17"/>
      <x:c r="F28" s="17"/>
      <x:c r="G28" s="17"/>
      <x:c r="H28" s="54" t="str">
        <x:v>Dec 31, 2026
Nuveen</x:v>
      </x:c>
      <x:c r="I28" s="62" t="n">
        <x:f>D9</x:f>
        <x:v>631000000</x:v>
      </x:c>
    </x:row>
    <x:row r="29" ht="25" customHeight="1">
      <x:c r="A29" s="17"/>
      <x:c r="B29" s="39"/>
      <x:c r="C29" s="17"/>
      <x:c r="D29" s="17"/>
      <x:c r="E29" s="17"/>
      <x:c r="F29" s="17"/>
      <x:c r="G29" s="17"/>
      <x:c r="H29" s="54" t="str">
        <x:v>Jan 30, 2027
Senior notes</x:v>
      </x:c>
      <x:c r="I29" s="62" t="n">
        <x:f>D10</x:f>
        <x:v>800000000</x:v>
      </x:c>
    </x:row>
    <x:row r="30" ht="25" customHeight="1">
      <x:c r="A30" s="17"/>
      <x:c r="B30" s="39"/>
      <x:c r="C30" s="17"/>
      <x:c r="D30" s="17"/>
      <x:c r="E30" s="17"/>
      <x:c r="F30" s="17"/>
      <x:c r="G30" s="17"/>
      <x:c r="H30" s="64" t="str">
        <x:v>Jul 31, 2027
Senior notes</x:v>
      </x:c>
      <x:c r="I30" s="82" t="n">
        <x:f>D11</x:f>
        <x:v>1300000000</x:v>
      </x:c>
    </x:row>
    <x:row r="31" ht="25" customHeight="1">
      <x:c r="A31" s="17"/>
      <x:c r="B31" s="39"/>
      <x:c r="C31" s="17"/>
      <x:c r="D31" s="17"/>
      <x:c r="E31" s="17"/>
      <x:c r="F31" s="17"/>
      <x:c r="G31" s="17"/>
      <x:c r="H31" s="17"/>
      <x:c r="I31" s="17"/>
    </x:row>
    <x:row r="32" ht="25" customHeight="1">
      <x:c r="A32" s="17"/>
      <x:c r="B32" s="39"/>
      <x:c r="C32" s="17"/>
      <x:c r="D32" s="17"/>
      <x:c r="E32" s="17"/>
      <x:c r="F32" s="17"/>
      <x:c r="G32" s="17"/>
      <x:c r="H32" s="17"/>
      <x:c r="I32" s="17"/>
    </x:row>
    <x:row r="33" ht="52" customHeight="1">
      <x:c r="A33" s="75" t="str">
        <x:v>Nuveen carrying liability</x:v>
      </x:c>
      <x:c r="B33" s="76" t="n">
        <x:f>IF(ISNUMBER(Data!B34),Data!B34,NA())</x:f>
        <x:v>613000000</x:v>
      </x:c>
      <x:c r="C33" s="17"/>
      <x:c r="D33" s="44" t="str">
        <x:v>Same obligation as the 631M final payment above; not added.</x:v>
      </x:c>
      <x:c r="E33" s="17"/>
      <x:c r="F33" s="17"/>
      <x:c r="G33" s="17"/>
      <x:c r="H33" s="17"/>
      <x:c r="I33" s="17"/>
    </x:row>
    <x:row r="34" ht="25" customHeight="1">
      <x:c r="A34" s="17"/>
      <x:c r="B34" s="39"/>
      <x:c r="C34" s="17"/>
      <x:c r="D34" s="17"/>
      <x:c r="E34" s="17"/>
      <x:c r="F34" s="17"/>
      <x:c r="G34" s="17"/>
      <x:c r="H34" s="17"/>
      <x:c r="I34" s="17"/>
    </x:row>
    <x:row r="35" ht="52" customHeight="1">
      <x:c r="A35" s="75" t="str">
        <x:v>Expected Cogentrix cash consideration</x:v>
      </x:c>
      <x:c r="B35" s="76" t="n">
        <x:f>IF(ISNUMBER(Data!B69),Data!B69,NA())</x:f>
        <x:v>2300000000</x:v>
      </x:c>
      <x:c r="C35" s="17"/>
      <x:c r="D35" s="44" t="str">
        <x:v>Late-2026 expected closing; conditions and adjustments apply. Exact payment date and completed closing Unavailable.</x:v>
      </x:c>
      <x:c r="E35" s="17"/>
      <x:c r="F35" s="17"/>
      <x:c r="G35" s="17"/>
      <x:c r="H35" s="17"/>
      <x:c r="I35" s="17"/>
    </x:row>
    <x:row r="36" ht="25" customHeight="1">
      <x:c r="A36" s="17"/>
      <x:c r="B36" s="39"/>
      <x:c r="C36" s="17"/>
      <x:c r="D36" s="17"/>
      <x:c r="E36" s="17"/>
      <x:c r="F36" s="17"/>
      <x:c r="G36" s="17"/>
      <x:c r="H36" s="17"/>
      <x:c r="I36" s="17"/>
    </x:row>
    <x:row r="37" ht="52" customHeight="1">
      <x:c r="A37" s="75" t="str">
        <x:v>Helix initial callable commitment</x:v>
      </x:c>
      <x:c r="B37" s="76" t="n">
        <x:f>IF(ISNUMBER(Data!B67),Data!B67,NA())</x:f>
        <x:v>500000000</x:v>
      </x:c>
      <x:c r="C37" s="17"/>
      <x:c r="D37" s="44" t="str">
        <x:v>Call date and amount funded to date Unavailable. Not assigned to December.</x:v>
      </x:c>
      <x:c r="E37" s="17"/>
      <x:c r="F37" s="17"/>
      <x:c r="G37" s="17"/>
      <x:c r="H37" s="17"/>
      <x:c r="I37" s="17"/>
    </x:row>
    <x:row r="38" ht="25" customHeight="1">
      <x:c r="A38" s="17"/>
      <x:c r="B38" s="39"/>
      <x:c r="C38" s="17"/>
      <x:c r="D38" s="17"/>
      <x:c r="E38" s="17"/>
      <x:c r="F38" s="17"/>
      <x:c r="G38" s="17"/>
      <x:c r="H38" s="17"/>
      <x:c r="I38" s="17"/>
    </x:row>
    <x:row r="39" ht="52" customHeight="1">
      <x:c r="A39" s="75" t="str">
        <x:v>Helix additional conditional commitment</x:v>
      </x:c>
      <x:c r="B39" s="76" t="n">
        <x:f>IF(ISNUMBER(Data!B68),Data!B68,NA())</x:f>
        <x:v>500000000</x:v>
      </x:c>
      <x:c r="C39" s="17"/>
      <x:c r="D39" s="44" t="str">
        <x:v>Milestones had not occurred at June 30; Vistra may elect to invest regardless.</x:v>
      </x:c>
      <x:c r="E39" s="17"/>
      <x:c r="F39" s="17"/>
      <x:c r="G39" s="17"/>
      <x:c r="H39" s="17"/>
      <x:c r="I39" s="17"/>
    </x:row>
    <x:row r="40" ht="25" customHeight="1">
      <x:c r="A40" s="17"/>
      <x:c r="B40" s="39"/>
      <x:c r="C40" s="17"/>
      <x:c r="D40" s="17"/>
      <x:c r="E40" s="17"/>
      <x:c r="F40" s="17"/>
      <x:c r="G40" s="17"/>
      <x:c r="H40" s="17"/>
      <x:c r="I40" s="17"/>
    </x:row>
    <x:row r="41" ht="25" customHeight="1">
      <x:c r="A41" s="17"/>
      <x:c r="B41" s="39"/>
      <x:c r="C41" s="17"/>
      <x:c r="D41" s="17"/>
      <x:c r="E41" s="17"/>
      <x:c r="F41" s="17"/>
      <x:c r="G41" s="17"/>
      <x:c r="H41" s="17"/>
      <x:c r="I41" s="17"/>
    </x:row>
    <x:row r="42" ht="25" customHeight="1">
      <x:c r="A42" s="17" t="str">
        <x:v>Historical annual schedule at Dec 31, 2025</x:v>
      </x:c>
      <x:c r="B42" s="39"/>
      <x:c r="C42" s="17"/>
      <x:c r="D42" s="17"/>
      <x:c r="E42" s="17"/>
      <x:c r="F42" s="17"/>
      <x:c r="G42" s="17"/>
      <x:c r="H42" s="17"/>
      <x:c r="I42" s="17"/>
    </x:row>
    <x:row r="43" ht="25" customHeight="1">
      <x:c r="A43" s="96" t="str">
        <x:v>Due year</x:v>
      </x:c>
      <x:c r="B43" s="110" t="str">
        <x:v>USD millions</x:v>
      </x:c>
      <x:c r="C43" s="97" t="str">
        <x:v>Basis</x:v>
      </x:c>
      <x:c r="D43" s="17"/>
      <x:c r="E43" s="17"/>
      <x:c r="F43" s="17"/>
      <x:c r="G43" s="17"/>
      <x:c r="H43" s="17"/>
      <x:c r="I43" s="17"/>
    </x:row>
    <x:row r="44" ht="40" customHeight="1">
      <x:c r="A44" s="54" t="n">
        <x:v>2026</x:v>
      </x:c>
      <x:c r="B44" s="30" t="n">
        <x:f>IF(ISNUMBER(Data!B70),Data!B70,NA())</x:f>
        <x:v>1201000000</x:v>
      </x:c>
      <x:c r="C44" s="70" t="str">
        <x:v>Historical principal schedule, not rolled forward to June.</x:v>
      </x:c>
      <x:c r="D44" s="17"/>
      <x:c r="E44" s="17"/>
      <x:c r="F44" s="17"/>
      <x:c r="G44" s="17"/>
      <x:c r="H44" s="17"/>
      <x:c r="I44" s="17"/>
    </x:row>
    <x:row r="45" ht="40" customHeight="1">
      <x:c r="A45" s="54" t="n">
        <x:v>2027</x:v>
      </x:c>
      <x:c r="B45" s="30" t="n">
        <x:f>IF(ISNUMBER(Data!B71),Data!B71,NA())</x:f>
        <x:v>3435000000</x:v>
      </x:c>
      <x:c r="C45" s="70" t="str">
        <x:v>Historical principal schedule, not rolled forward to June.</x:v>
      </x:c>
      <x:c r="D45" s="17"/>
      <x:c r="E45" s="17"/>
      <x:c r="F45" s="17"/>
      <x:c r="G45" s="17"/>
      <x:c r="H45" s="17"/>
      <x:c r="I45" s="17"/>
    </x:row>
    <x:row r="46" ht="40" customHeight="1">
      <x:c r="A46" s="54" t="n">
        <x:v>2028</x:v>
      </x:c>
      <x:c r="B46" s="30" t="n">
        <x:f>IF(ISNUMBER(Data!B72),Data!B72,NA())</x:f>
        <x:v>786000000</x:v>
      </x:c>
      <x:c r="C46" s="70" t="str">
        <x:v>Historical principal schedule, not rolled forward to June.</x:v>
      </x:c>
      <x:c r="D46" s="17"/>
      <x:c r="E46" s="17"/>
      <x:c r="F46" s="17"/>
      <x:c r="G46" s="17"/>
      <x:c r="H46" s="17"/>
      <x:c r="I46" s="17"/>
    </x:row>
    <x:row r="47" ht="40" customHeight="1">
      <x:c r="A47" s="54" t="n">
        <x:v>2029</x:v>
      </x:c>
      <x:c r="B47" s="30" t="n">
        <x:f>IF(ISNUMBER(Data!B73),Data!B73,NA())</x:f>
        <x:v>2362000000</x:v>
      </x:c>
      <x:c r="C47" s="70" t="str">
        <x:v>Historical principal schedule, not rolled forward to June.</x:v>
      </x:c>
      <x:c r="D47" s="17"/>
      <x:c r="E47" s="17"/>
      <x:c r="F47" s="17"/>
      <x:c r="G47" s="17"/>
      <x:c r="H47" s="17"/>
      <x:c r="I47" s="17"/>
    </x:row>
    <x:row r="48" ht="40" customHeight="1">
      <x:c r="A48" s="54" t="n">
        <x:v>2030</x:v>
      </x:c>
      <x:c r="B48" s="30" t="n">
        <x:f>IF(ISNUMBER(Data!B74),Data!B74,NA())</x:f>
        <x:v>2853000000</x:v>
      </x:c>
      <x:c r="C48" s="70" t="str">
        <x:v>Historical principal schedule, not rolled forward to June.</x:v>
      </x:c>
      <x:c r="D48" s="17"/>
      <x:c r="E48" s="17"/>
      <x:c r="F48" s="17"/>
      <x:c r="G48" s="17"/>
      <x:c r="H48" s="17"/>
      <x:c r="I48" s="17"/>
    </x:row>
    <x:row r="49" ht="40" customHeight="1">
      <x:c r="A49" s="54" t="str">
        <x:v>Thereafter</x:v>
      </x:c>
      <x:c r="B49" s="30" t="n">
        <x:f>IF(ISNUMBER(Data!B75),Data!B75,NA())</x:f>
        <x:v>6559000000</x:v>
      </x:c>
      <x:c r="C49" s="70" t="str">
        <x:v>Historical principal schedule, not rolled forward to June.</x:v>
      </x:c>
      <x:c r="D49" s="17"/>
      <x:c r="E49" s="17"/>
      <x:c r="F49" s="17"/>
      <x:c r="G49" s="17"/>
      <x:c r="H49" s="17"/>
      <x:c r="I49" s="17"/>
    </x:row>
    <x:row r="50" ht="25" customHeight="1">
      <x:c r="A50" s="66" t="str">
        <x:v>Calculated annual principal</x:v>
      </x:c>
      <x:c r="B50" s="122" t="n">
        <x:f>SUM(B44:B49)</x:f>
        <x:v>17196000000</x:v>
      </x:c>
      <x:c r="C50" s="79"/>
      <x:c r="D50" s="17"/>
      <x:c r="E50" s="17"/>
      <x:c r="F50" s="17"/>
      <x:c r="G50" s="17"/>
      <x:c r="H50" s="17"/>
      <x:c r="I50" s="17"/>
    </x:row>
    <x:row r="51" ht="25" customHeight="1">
      <x:c r="A51" s="54" t="str">
        <x:v>Less annual premiums, discounts and costs</x:v>
      </x:c>
      <x:c r="B51" s="30" t="n">
        <x:f>IF(ISNUMBER(Data!B77),Data!B77,NA())</x:f>
        <x:v>153000000</x:v>
      </x:c>
      <x:c r="C51" s="79"/>
      <x:c r="D51" s="17"/>
      <x:c r="E51" s="17"/>
      <x:c r="F51" s="17"/>
      <x:c r="G51" s="17"/>
      <x:c r="H51" s="17"/>
      <x:c r="I51" s="17"/>
    </x:row>
    <x:row r="52" ht="25" customHeight="1">
      <x:c r="A52" s="66" t="str">
        <x:v>Calculated annual carrying debt</x:v>
      </x:c>
      <x:c r="B52" s="122" t="n">
        <x:f>B50-B51</x:f>
        <x:v>17043000000</x:v>
      </x:c>
      <x:c r="C52" s="79"/>
      <x:c r="D52" s="17"/>
      <x:c r="E52" s="17"/>
      <x:c r="F52" s="17"/>
      <x:c r="G52" s="17"/>
      <x:c r="H52" s="17"/>
      <x:c r="I52" s="17"/>
    </x:row>
    <x:row r="53" ht="25" customHeight="1">
      <x:c r="A53" s="54" t="str">
        <x:v>Reported annual carrying debt</x:v>
      </x:c>
      <x:c r="B53" s="30" t="n">
        <x:f>IF(ISNUMBER(Data!B76),Data!B76,NA())</x:f>
        <x:v>17043000000</x:v>
      </x:c>
      <x:c r="C53" s="79"/>
      <x:c r="D53" s="17"/>
      <x:c r="E53" s="17"/>
      <x:c r="F53" s="17"/>
      <x:c r="G53" s="17"/>
      <x:c r="H53" s="17"/>
      <x:c r="I53" s="17"/>
    </x:row>
    <x:row r="54" ht="25" customHeight="1">
      <x:c r="A54" s="64" t="str">
        <x:v>Annual carrying reconciliation difference</x:v>
      </x:c>
      <x:c r="B54" s="80" t="n">
        <x:f>B52-B53</x:f>
        <x:v>0</x:v>
      </x:c>
      <x:c r="C54" s="81"/>
      <x:c r="D54" s="17"/>
      <x:c r="E54" s="17"/>
      <x:c r="F54" s="17"/>
      <x:c r="G54" s="17"/>
      <x:c r="H54" s="17"/>
      <x:c r="I54" s="17"/>
    </x:row>
    <x:row r="55" ht="25" customHeight="1">
      <x:c r="A55" s="17"/>
      <x:c r="B55" s="17"/>
      <x:c r="C55" s="17"/>
      <x:c r="D55" s="17"/>
      <x:c r="E55" s="17"/>
      <x:c r="F55" s="17"/>
      <x:c r="G55" s="17"/>
      <x:c r="H55" s="17"/>
      <x:c r="I55" s="17"/>
    </x:row>
    <x:row r="56" ht="25" customHeight="1">
      <x:c r="A56" s="17" t="str">
        <x:v>No full remaining June debt-service schedule or overall future repayment surplus is inferred.</x:v>
      </x:c>
      <x:c r="B56" s="17"/>
      <x:c r="C56" s="17"/>
      <x:c r="D56" s="17"/>
      <x:c r="E56" s="17"/>
      <x:c r="F56" s="17"/>
      <x:c r="G56" s="17"/>
      <x:c r="H56" s="17"/>
      <x:c r="I56" s="17"/>
    </x:row>
  </x:sheetData>
  <x:pageMargins left="0.7" right="0.7" top="0.75" bottom="0.75" header="0.3" footer="0.3"/>
  <x:drawing xmlns:r="http://schemas.openxmlformats.org/officeDocument/2006/relationships" r:id="R1fdbc8fae0124d55"/>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funding resources and conditions</x:v>
      </x:c>
      <x:c r="B2" s="17"/>
      <x:c r="C2" s="17"/>
      <x:c r="D2" s="17"/>
      <x:c r="E2" s="17"/>
    </x:row>
    <x:row r="3" ht="25" customHeight="1">
      <x:c r="A3" s="38" t="str">
        <x:v>Reported available capacity at June 30, 2026. USD millions. Current drawable capacity is Unavailable.</x:v>
      </x:c>
      <x:c r="B3" s="17"/>
      <x:c r="C3" s="17"/>
      <x:c r="D3" s="17"/>
      <x:c r="E3" s="17"/>
    </x:row>
    <x:row r="4" ht="25" customHeight="1">
      <x:c r="A4" s="17"/>
      <x:c r="B4" s="17"/>
      <x:c r="C4" s="17"/>
      <x:c r="D4" s="17"/>
      <x:c r="E4" s="17"/>
    </x:row>
    <x:row r="5" ht="25" customHeight="1">
      <x:c r="A5" s="96" t="str">
        <x:v>Resource</x:v>
      </x:c>
      <x:c r="B5" s="100" t="str">
        <x:v>June available</x:v>
      </x:c>
      <x:c r="C5" s="100" t="str">
        <x:v>Current drawable</x:v>
      </x:c>
      <x:c r="D5" s="100" t="str">
        <x:v>Borrower / scope</x:v>
      </x:c>
      <x:c r="E5" s="97" t="str">
        <x:v>Conditions</x:v>
      </x:c>
    </x:row>
    <x:row r="6" ht="90" customHeight="1">
      <x:c r="A6" s="69" t="str">
        <x:v>Cash and equivalents</x:v>
      </x:c>
      <x:c r="B6" s="47" t="n">
        <x:f>IF(ISNUMBER(Data!B31),Data!B31,NA())</x:f>
        <x:v>435000000</x:v>
      </x:c>
      <x:c r="C6" s="44" t="str">
        <x:v>Unavailable</x:v>
      </x:c>
      <x:c r="D6" s="44" t="str">
        <x:v>Vistra consolidated</x:v>
      </x:c>
      <x:c r="E6" s="70" t="str">
        <x:v>Cash excludes 46M restricted cash. Cash located at Parent and amounts transferable from each subsidiary are Unavailable.</x:v>
      </x:c>
    </x:row>
    <x:row r="7" ht="90" customHeight="1">
      <x:c r="A7" s="69" t="str">
        <x:v>Corporate revolver</x:v>
      </x:c>
      <x:c r="B7" s="47" t="n">
        <x:f>IF(ISNUMBER(Data!B59),Data!B59,NA())</x:f>
        <x:v>4408000000</x:v>
      </x:c>
      <x:c r="C7" s="44" t="str">
        <x:v>Unavailable</x:v>
      </x:c>
      <x:c r="D7" s="44" t="str">
        <x:v>Vistra Operations</x:v>
      </x:c>
      <x:c r="E7" s="70" t="str">
        <x:v>General corporate purposes, including permitted acquisitions and restricted payments (§9.13). Borrowing conditions and distribution restrictions still apply.</x:v>
      </x:c>
    </x:row>
    <x:row r="8" ht="90" customHeight="1">
      <x:c r="A8" s="69" t="str">
        <x:v>Commodity-linked facility</x:v>
      </x:c>
      <x:c r="B8" s="47" t="n">
        <x:f>IF(ISNUMBER(Data!B63),Data!B63,NA())</x:f>
        <x:v>1452000000</x:v>
      </x:c>
      <x:c r="C8" s="44" t="str">
        <x:v>Unavailable</x:v>
      </x:c>
      <x:c r="D8" s="44" t="str">
        <x:v>Vistra Operations</x:v>
      </x:c>
      <x:c r="E8" s="70" t="str">
        <x:v>Supports commodity collateral, working capital and general corporate purposes. Weekly hedge-based borrowing base can fall and require repayment. June capacity is not a later commitment to lend that amount.</x:v>
      </x:c>
    </x:row>
    <x:row r="9" ht="90" customHeight="1">
      <x:c r="A9" s="69" t="str">
        <x:v>Receivables facility</x:v>
      </x:c>
      <x:c r="B9" s="48"/>
      <x:c r="C9" s="44" t="str">
        <x:v>Unavailable</x:v>
      </x:c>
      <x:c r="D9" s="44" t="str">
        <x:v>TXU Energy Receivables Company</x:v>
      </x:c>
      <x:c r="E9" s="70" t="str">
        <x:v>Purchase limit rose to 1.25B on July 10, due July 9, 2027. June borrowings 300M. Eligible receivables, advance conditions and a contemporaneous drawing balance are needed; 1.25B less June borrowings is not drawable capacity.</x:v>
      </x:c>
    </x:row>
    <x:row r="10" ht="90" customHeight="1">
      <x:c r="A10" s="69" t="str">
        <x:v>Repurchase facility</x:v>
      </x:c>
      <x:c r="B10" s="48"/>
      <x:c r="C10" s="44" t="str">
        <x:v>Unavailable</x:v>
      </x:c>
      <x:c r="D10" s="44" t="str">
        <x:v>TXU Energy and originators</x:v>
      </x:c>
      <x:c r="E10" s="70" t="str">
        <x:v>125M uncommitted program, extended to July 9, 2027. Secured by the receivables program’s subordinated note. June drawings were zero; no guaranteed cash availability or independent collateral pool is established.</x:v>
      </x:c>
    </x:row>
    <x:row r="11" ht="90" customHeight="1">
      <x:c r="A11" s="69" t="str">
        <x:v>BCOP facilities</x:v>
      </x:c>
      <x:c r="B11" s="47" t="n">
        <x:f>IF(ISNUMBER(Data!B64),Data!B64,NA())</x:f>
        <x:v>0</x:v>
      </x:c>
      <x:c r="C11" s="44" t="str">
        <x:v>Unavailable</x:v>
      </x:c>
      <x:c r="D11" s="44" t="str">
        <x:v>BCOP project subsidiaries</x:v>
      </x:c>
      <x:c r="E11" s="70" t="str">
        <x:v>Zero unused capacity in the June table. Project assets and cash flows service project debt; Pulaski bridge has a Vistra guarantee. The rest is otherwise non-recourse to Vistra Operations and its other subsidiaries.</x:v>
      </x:c>
    </x:row>
    <x:row r="12" ht="90" customHeight="1">
      <x:c r="A12" s="69" t="str">
        <x:v>Vistra Zero term loan</x:v>
      </x:c>
      <x:c r="B12" s="47" t="n">
        <x:f>IF(ISNUMBER(Data!B65),Data!B65,NA())</x:f>
        <x:v>0</x:v>
      </x:c>
      <x:c r="C12" s="44" t="str">
        <x:v>Unavailable</x:v>
      </x:c>
      <x:c r="D12" s="44" t="str">
        <x:v>Vistra Zero Operating</x:v>
      </x:c>
      <x:c r="E12" s="70" t="str">
        <x:v>Zero unused capacity in the June table; 697M is already drawn and included in debt. Subsidiary guarantees and project security; otherwise non-recourse to Vistra Operations and its other subsidiaries.</x:v>
      </x:c>
    </x:row>
    <x:row r="13" ht="90" customHeight="1">
      <x:c r="A13" s="71" t="str">
        <x:v>Texas Energy Fund loan</x:v>
      </x:c>
      <x:c r="B13" s="83" t="n">
        <x:f>IF(ISNUMBER(Data!B66),Data!B66,NA())</x:f>
        <x:v>0</x:v>
      </x:c>
      <x:c r="C13" s="84" t="str">
        <x:v>Unavailable</x:v>
      </x:c>
      <x:c r="D13" s="84" t="str">
        <x:v>Permian Power</x:v>
      </x:c>
      <x:c r="E13" s="74"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17"/>
      <x:c r="B14" s="39"/>
      <x:c r="C14" s="17"/>
      <x:c r="D14" s="17"/>
      <x:c r="E14" s="17"/>
    </x:row>
    <x:row r="15" ht="25" customHeight="1">
      <x:c r="A15" s="17"/>
      <x:c r="B15" s="39"/>
      <x:c r="C15" s="17"/>
      <x:c r="D15" s="17"/>
      <x:c r="E15" s="17"/>
    </x:row>
    <x:row r="16" ht="25" customHeight="1">
      <x:c r="A16" s="120" t="str">
        <x:v>Calculated June reported liquidity</x:v>
      </x:c>
      <x:c r="B16" s="121" t="n">
        <x:f>SUM(B6:B8)</x:f>
        <x:v>6295000000</x:v>
      </x:c>
      <x:c r="C16" s="17"/>
      <x:c r="D16" s="17"/>
      <x:c r="E16" s="17"/>
    </x:row>
    <x:row r="17" ht="25" customHeight="1">
      <x:c r="A17" s="17"/>
      <x:c r="B17" s="39"/>
      <x:c r="C17" s="17"/>
      <x:c r="D17" s="17"/>
      <x:c r="E17" s="17"/>
    </x:row>
    <x:row r="18" ht="25" customHeight="1">
      <x:c r="A18" s="58" t="str">
        <x:v>Revolver commitment</x:v>
      </x:c>
      <x:c r="B18" s="59" t="n">
        <x:f>IF(ISNUMBER(Data!B56),Data!B56,NA())</x:f>
        <x:v>5500000000</x:v>
      </x:c>
      <x:c r="C18" s="17"/>
      <x:c r="D18" s="17"/>
      <x:c r="E18" s="17"/>
    </x:row>
    <x:row r="19" ht="25" customHeight="1">
      <x:c r="A19" s="54" t="str">
        <x:v>Less revolving borrowings</x:v>
      </x:c>
      <x:c r="B19" s="55" t="n">
        <x:f>IF(ISNUMBER(Data!B57),Data!B57,NA())</x:f>
        <x:v>0</x:v>
      </x:c>
      <x:c r="C19" s="17"/>
      <x:c r="D19" s="17"/>
      <x:c r="E19" s="17"/>
    </x:row>
    <x:row r="20" ht="25" customHeight="1">
      <x:c r="A20" s="54" t="str">
        <x:v>Less revolver letters of credit</x:v>
      </x:c>
      <x:c r="B20" s="55" t="n">
        <x:f>IF(ISNUMBER(Data!B58),Data!B58,NA())</x:f>
        <x:v>1092000000</x:v>
      </x:c>
      <x:c r="C20" s="17"/>
      <x:c r="D20" s="17"/>
      <x:c r="E20" s="17"/>
    </x:row>
    <x:row r="21" ht="25" customHeight="1">
      <x:c r="A21" s="66" t="str">
        <x:v>Calculated revolver availability</x:v>
      </x:c>
      <x:c r="B21" s="67" t="n">
        <x:f>B18-B19-B20</x:f>
        <x:v>4408000000</x:v>
      </x:c>
      <x:c r="C21" s="17"/>
      <x:c r="D21" s="17"/>
      <x:c r="E21" s="17"/>
    </x:row>
    <x:row r="22" ht="25" customHeight="1">
      <x:c r="A22" s="54" t="str">
        <x:v>Reported revolver availability</x:v>
      </x:c>
      <x:c r="B22" s="55" t="n">
        <x:f>IF(ISNUMBER(Data!B59),Data!B59,NA())</x:f>
        <x:v>4408000000</x:v>
      </x:c>
      <x:c r="C22" s="17"/>
      <x:c r="D22" s="17"/>
      <x:c r="E22" s="17"/>
    </x:row>
    <x:row r="23" ht="25" customHeight="1">
      <x:c r="A23" s="64" t="str">
        <x:v>Revolver reconciliation difference</x:v>
      </x:c>
      <x:c r="B23" s="65" t="n">
        <x:f>B21-B22</x:f>
        <x:v>0</x:v>
      </x:c>
      <x:c r="C23" s="17"/>
      <x:c r="D23" s="17"/>
      <x:c r="E23" s="17"/>
    </x:row>
    <x:row r="24" ht="25" customHeight="1">
      <x:c r="A24" s="17"/>
      <x:c r="B24" s="39"/>
      <x:c r="C24" s="17"/>
      <x:c r="D24" s="17"/>
      <x:c r="E24" s="17"/>
    </x:row>
    <x:row r="25" ht="25" customHeight="1">
      <x:c r="A25" s="58" t="str">
        <x:v>Commodity-linked commitment</x:v>
      </x:c>
      <x:c r="B25" s="59" t="n">
        <x:f>IF(ISNUMBER(Data!B60),Data!B60,NA())</x:f>
        <x:v>1750000000</x:v>
      </x:c>
      <x:c r="C25" s="17"/>
      <x:c r="D25" s="17"/>
      <x:c r="E25" s="17"/>
    </x:row>
    <x:row r="26" ht="45" customHeight="1">
      <x:c r="A26" s="64" t="str">
        <x:v>Commodity-linked reported availability</x:v>
      </x:c>
      <x:c r="B26" s="86" t="n">
        <x:f>IF(ISNUMBER(Data!B63),Data!B63,NA())</x:f>
        <x:v>1452000000</x:v>
      </x:c>
      <x:c r="C26" s="17"/>
      <x:c r="D26" s="44" t="str">
        <x:v>Weekly borrowing base is lower than commitment. Do not use 1.75B as available cash.</x:v>
      </x:c>
      <x:c r="E26" s="17"/>
    </x:row>
    <x:row r="27" ht="25" customHeight="1">
      <x:c r="A27" s="17"/>
      <x:c r="B27" s="39"/>
      <x:c r="C27" s="17"/>
      <x:c r="D27" s="17"/>
      <x:c r="E27" s="17"/>
    </x:row>
    <x:row r="28" ht="25" customHeight="1">
      <x:c r="A28" s="58" t="str">
        <x:v>Other LOC facilities</x:v>
      </x:c>
      <x:c r="B28" s="59" t="n">
        <x:f>IF(ISNUMBER(Data!B53),Data!B53,NA())</x:f>
        <x:v>1759000000</x:v>
      </x:c>
      <x:c r="C28" s="17"/>
      <x:c r="D28" s="17"/>
      <x:c r="E28" s="17"/>
    </x:row>
    <x:row r="29" ht="25" customHeight="1">
      <x:c r="A29" s="54" t="str">
        <x:v>Alternative LOC facilities</x:v>
      </x:c>
      <x:c r="B29" s="55" t="n">
        <x:f>IF(ISNUMBER(Data!B54),Data!B54,NA())</x:f>
        <x:v>736000000</x:v>
      </x:c>
      <x:c r="C29" s="17"/>
      <x:c r="D29" s="17"/>
      <x:c r="E29" s="17"/>
    </x:row>
    <x:row r="30" ht="25" customHeight="1">
      <x:c r="A30" s="66" t="str">
        <x:v>Calculated LOC total</x:v>
      </x:c>
      <x:c r="B30" s="67" t="n">
        <x:f>B20+B28+B29</x:f>
        <x:v>3587000000</x:v>
      </x:c>
      <x:c r="C30" s="17"/>
      <x:c r="D30" s="17"/>
      <x:c r="E30" s="17"/>
    </x:row>
    <x:row r="31" ht="25" customHeight="1">
      <x:c r="A31" s="54" t="str">
        <x:v>Reported LOC total</x:v>
      </x:c>
      <x:c r="B31" s="55" t="n">
        <x:f>IF(ISNUMBER(Data!B55),Data!B55,NA())</x:f>
        <x:v>3587000000</x:v>
      </x:c>
      <x:c r="C31" s="17"/>
      <x:c r="D31" s="17"/>
      <x:c r="E31" s="17"/>
    </x:row>
    <x:row r="32" ht="25" customHeight="1">
      <x:c r="A32" s="64" t="str">
        <x:v>LOC reconciliation difference</x:v>
      </x:c>
      <x:c r="B32" s="65" t="n">
        <x:f>B30-B31</x:f>
        <x:v>0</x:v>
      </x:c>
      <x:c r="C32" s="17"/>
      <x:c r="D32" s="17"/>
      <x:c r="E32" s="17"/>
    </x:row>
    <x:row r="33" ht="25" customHeight="1">
      <x:c r="A33" s="17"/>
      <x:c r="B33" s="39"/>
      <x:c r="C33" s="17"/>
      <x:c r="D33" s="17"/>
      <x:c r="E33" s="17"/>
    </x:row>
    <x:row r="34" ht="25" customHeight="1">
      <x:c r="A34" s="58" t="str">
        <x:v>Project debt already in baseline borrowing</x:v>
      </x:c>
      <x:c r="B34" s="59" t="n">
        <x:f>IF(ISNUMBER(Data!B41),Data!B41,NA())</x:f>
        <x:v>1633000000</x:v>
      </x:c>
      <x:c r="C34" s="17"/>
      <x:c r="D34" s="17"/>
      <x:c r="E34" s="17"/>
    </x:row>
    <x:row r="35" ht="25" customHeight="1">
      <x:c r="A35" s="54" t="str">
        <x:v>Vistra Operations principal</x:v>
      </x:c>
      <x:c r="B35" s="55" t="n">
        <x:f>IF(ISNUMBER(Data!B42),Data!B42,NA())</x:f>
        <x:v>18131000000</x:v>
      </x:c>
      <x:c r="C35" s="17"/>
      <x:c r="D35" s="17"/>
      <x:c r="E35" s="17"/>
    </x:row>
    <x:row r="36" ht="25" customHeight="1">
      <x:c r="A36" s="66" t="str">
        <x:v>Calculated long-term principal</x:v>
      </x:c>
      <x:c r="B36" s="67" t="n">
        <x:f>B34+B35</x:f>
        <x:v>19764000000</x:v>
      </x:c>
      <x:c r="C36" s="17"/>
      <x:c r="D36" s="17"/>
      <x:c r="E36" s="17"/>
    </x:row>
    <x:row r="37" ht="25" customHeight="1">
      <x:c r="A37" s="54" t="str">
        <x:v>Less unamortized premiums/discounts/costs</x:v>
      </x:c>
      <x:c r="B37" s="55" t="n">
        <x:f>IF(ISNUMBER(Data!B36),Data!B36,NA())</x:f>
        <x:v>169000000</x:v>
      </x:c>
      <x:c r="C37" s="17"/>
      <x:c r="D37" s="17"/>
      <x:c r="E37" s="17"/>
    </x:row>
    <x:row r="38" ht="25" customHeight="1">
      <x:c r="A38" s="66" t="str">
        <x:v>Calculated long-term carrying debt</x:v>
      </x:c>
      <x:c r="B38" s="67" t="n">
        <x:f>B36-B37</x:f>
        <x:v>19595000000</x:v>
      </x:c>
      <x:c r="C38" s="17"/>
      <x:c r="D38" s="17"/>
      <x:c r="E38" s="17"/>
    </x:row>
    <x:row r="39" ht="25" customHeight="1">
      <x:c r="A39" s="54" t="str">
        <x:v>Reported long-term carrying debt</x:v>
      </x:c>
      <x:c r="B39" s="55" t="n">
        <x:f>IF(ISNUMBER(Data!B35),Data!B35,NA())</x:f>
        <x:v>19595000000</x:v>
      </x:c>
      <x:c r="C39" s="17"/>
      <x:c r="D39" s="17"/>
      <x:c r="E39" s="17"/>
    </x:row>
    <x:row r="40" ht="25" customHeight="1">
      <x:c r="A40" s="54" t="str">
        <x:v>Long-term debt reconciliation difference</x:v>
      </x:c>
      <x:c r="B40" s="63" t="n">
        <x:f>B38-B39</x:f>
        <x:v>0</x:v>
      </x:c>
      <x:c r="C40" s="17"/>
      <x:c r="D40" s="17"/>
      <x:c r="E40" s="17"/>
    </x:row>
    <x:row r="41" ht="25" customHeight="1">
      <x:c r="A41" s="54" t="str">
        <x:v>Receivables financing outstanding</x:v>
      </x:c>
      <x:c r="B41" s="55" t="n">
        <x:f>IF(ISNUMBER(Data!B37),Data!B37,NA())</x:f>
        <x:v>300000000</x:v>
      </x:c>
      <x:c r="C41" s="17"/>
      <x:c r="D41" s="17"/>
      <x:c r="E41" s="17"/>
    </x:row>
    <x:row r="42" ht="25" customHeight="1">
      <x:c r="A42" s="120" t="str">
        <x:v>Baseline gross borrowing</x:v>
      </x:c>
      <x:c r="B42" s="121" t="n">
        <x:f>B38+B41</x:f>
        <x:v>19895000000</x:v>
      </x:c>
      <x:c r="C42" s="17"/>
      <x:c r="D42" s="17"/>
      <x:c r="E42" s="17"/>
    </x:row>
    <x:row r="43" ht="25" customHeight="1">
      <x:c r="A43" s="17"/>
      <x:c r="B43" s="39"/>
      <x:c r="C43" s="17"/>
      <x:c r="D43" s="17"/>
      <x:c r="E43" s="17"/>
    </x:row>
    <x:row r="44" ht="25" customHeight="1">
      <x:c r="A44" s="58" t="str">
        <x:v>Margin cash already posted</x:v>
      </x:c>
      <x:c r="B44" s="59" t="n">
        <x:f>IF(ISNUMBER(Data!B39),Data!B39,NA())</x:f>
        <x:v>1436000000</x:v>
      </x:c>
      <x:c r="C44" s="17"/>
      <x:c r="D44" s="17" t="str">
        <x:v>Posted assets are not extra cash available for repayments.</x:v>
      </x:c>
      <x:c r="E44" s="17"/>
    </x:row>
    <x:row r="45" ht="25" customHeight="1">
      <x:c r="A45" s="64" t="str">
        <x:v>Affiliate-financed assets already posted</x:v>
      </x:c>
      <x:c r="B45" s="86" t="n">
        <x:f>IF(ISNUMBER(Data!B40),Data!B40,NA())</x:f>
        <x:v>438000000</x:v>
      </x:c>
      <x:c r="C45" s="17"/>
      <x:c r="D45" s="17"/>
      <x:c r="E45" s="17"/>
    </x:row>
    <x:row r="46">
      <x:c r="B46" s="40"/>
    </x:row>
    <x:row r="47">
      <x:c r="B47" s="40"/>
    </x:row>
    <x:row r="48">
      <x:c r="B48" s="40"/>
    </x:row>
    <x:row r="49">
      <x:c r="B49" s="40"/>
    </x:row>
    <x:row r="50">
      <x:c r="B50" s="40"/>
    </x:row>
    <x:row r="51">
      <x:c r="B51" s="40"/>
    </x:row>
    <x:row r="52">
      <x:c r="B52" s="40"/>
    </x:row>
    <x:row r="53">
      <x:c r="B53" s="40"/>
    </x:row>
    <x:row r="54">
      <x:c r="B54" s="4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s>
  <x:sheetData>
    <x:row r="1" ht="52" customHeight="1">
      <x:c r="A1" s="117" t="str">
        <x:v>Input</x:v>
      </x:c>
      <x:c r="B1" s="118" t="str">
        <x:v>USD, displayed millions</x:v>
      </x:c>
      <x:c r="C1" s="118" t="str">
        <x:v>Description</x:v>
      </x:c>
      <x:c r="D1" s="118" t="str">
        <x:v>Period from</x:v>
      </x:c>
      <x:c r="E1" s="118" t="str">
        <x:v>Period through</x:v>
      </x:c>
      <x:c r="F1" s="118" t="str">
        <x:v>Form</x:v>
      </x:c>
      <x:c r="G1" s="118" t="str">
        <x:v>Filed</x:v>
      </x:c>
      <x:c r="H1" s="118" t="str">
        <x:v>Accession</x:v>
      </x:c>
      <x:c r="I1" s="118" t="str">
        <x:v>Tag</x:v>
      </x:c>
      <x:c r="J1" s="118" t="str">
        <x:v>Context</x:v>
      </x:c>
      <x:c r="K1" s="118" t="str">
        <x:v>Dimensions</x:v>
      </x:c>
      <x:c r="L1" s="118" t="str">
        <x:v>Scale</x:v>
      </x:c>
      <x:c r="M1" s="118" t="str">
        <x:v>Decimals</x:v>
      </x:c>
      <x:c r="N1" s="118" t="str">
        <x:v>Source</x:v>
      </x:c>
      <x:c r="O1" s="118" t="str">
        <x:v>Location</x:v>
      </x:c>
      <x:c r="P1" s="119" t="str">
        <x:v>Reason if unavailable</x:v>
      </x:c>
    </x:row>
    <x:row r="2" ht="52" customHeight="1">
      <x:c r="A2" s="69" t="str">
        <x:v>ocf</x:v>
      </x:c>
      <x:c r="B2" s="49" t="n">
        <x:v>2222000000</x:v>
      </x:c>
      <x:c r="C2" s="44" t="str">
        <x:v>Operating cash flow</x:v>
      </x:c>
      <x:c r="D2" s="50" t="d">
        <x:v>2026-01-01T00:00:00.000Z</x:v>
      </x:c>
      <x:c r="E2" s="50" t="d">
        <x:v>2026-06-30T00:00:00.000Z</x:v>
      </x:c>
      <x:c r="F2" s="44" t="str">
        <x:v>10-Q</x:v>
      </x:c>
      <x:c r="G2" s="50" t="d">
        <x:v>2026-08-10T00:00:00.000Z</x:v>
      </x:c>
      <x:c r="H2" s="44" t="str">
        <x:v>0001692819-26-000019</x:v>
      </x:c>
      <x:c r="I2" s="44" t="str">
        <x:v>us-gaap:NetCashProvidedByUsedInOperatingActivities</x:v>
      </x:c>
      <x:c r="J2" s="44" t="str">
        <x:v>c-1</x:v>
      </x:c>
      <x:c r="K2" s="44" t="str">
        <x:v>[]</x:v>
      </x:c>
      <x:c r="L2" s="44" t="n">
        <x:v>6</x:v>
      </x:c>
      <x:c r="M2" s="44" t="str">
        <x:v>-6</x:v>
      </x:c>
      <x:c r="N2" s="44" t="str">
        <x:v>https://www.sec.gov/Archives/edgar/data/1692819/000169281926000019/vistra-20260630.htm</x:v>
      </x:c>
      <x:c r="O2" s="44" t="str">
        <x:v>10-Q cash flows, pp. 4–5</x:v>
      </x:c>
      <x:c r="P2" s="70"/>
    </x:row>
    <x:row r="3" ht="52" customHeight="1">
      <x:c r="A3" s="69" t="str">
        <x:v>capex</x:v>
      </x:c>
      <x:c r="B3" s="49" t="n">
        <x:v>1572000000</x:v>
      </x:c>
      <x:c r="C3" s="44" t="str">
        <x:v>Capital spending, including nuclear fuel and LTSA prepayments</x:v>
      </x:c>
      <x:c r="D3" s="50" t="d">
        <x:v>2026-01-01T00:00:00.000Z</x:v>
      </x:c>
      <x:c r="E3" s="50" t="d">
        <x:v>2026-06-30T00:00:00.000Z</x:v>
      </x:c>
      <x:c r="F3" s="44" t="str">
        <x:v>10-Q</x:v>
      </x:c>
      <x:c r="G3" s="50" t="d">
        <x:v>2026-08-10T00:00:00.000Z</x:v>
      </x:c>
      <x:c r="H3" s="44" t="str">
        <x:v>0001692819-26-000019</x:v>
      </x:c>
      <x:c r="I3" s="44" t="str">
        <x:v>us-gaap:PaymentsToAcquirePropertyPlantAndEquipment</x:v>
      </x:c>
      <x:c r="J3" s="44" t="str">
        <x:v>c-1</x:v>
      </x:c>
      <x:c r="K3" s="44" t="str">
        <x:v>[]</x:v>
      </x:c>
      <x:c r="L3" s="44" t="n">
        <x:v>6</x:v>
      </x:c>
      <x:c r="M3" s="44" t="str">
        <x:v>-6</x:v>
      </x:c>
      <x:c r="N3" s="44" t="str">
        <x:v>https://www.sec.gov/Archives/edgar/data/1692819/000169281926000019/vistra-20260630.htm</x:v>
      </x:c>
      <x:c r="O3" s="44" t="str">
        <x:v>10-Q cash flows, pp. 4–5</x:v>
      </x:c>
      <x:c r="P3" s="70"/>
    </x:row>
    <x:row r="4" ht="52" customHeight="1">
      <x:c r="A4" s="69" t="str">
        <x:v>acquisition_adjustment</x:v>
      </x:c>
      <x:c r="B4" s="49" t="n">
        <x:v>-6000000</x:v>
      </x:c>
      <x:c r="C4" s="44" t="str">
        <x:v>Lotus purchase-price adjustment</x:v>
      </x:c>
      <x:c r="D4" s="50" t="d">
        <x:v>2026-01-01T00:00:00.000Z</x:v>
      </x:c>
      <x:c r="E4" s="50" t="d">
        <x:v>2026-06-30T00:00:00.000Z</x:v>
      </x:c>
      <x:c r="F4" s="44" t="str">
        <x:v>10-Q</x:v>
      </x:c>
      <x:c r="G4" s="50" t="d">
        <x:v>2026-08-10T00:00:00.000Z</x:v>
      </x:c>
      <x:c r="H4" s="44" t="str">
        <x:v>0001692819-26-000019</x:v>
      </x:c>
      <x:c r="I4" s="44" t="str">
        <x:v>us-gaap:PaymentsToAcquireBusinessesNetOfCashAcquired</x:v>
      </x:c>
      <x:c r="J4" s="44" t="str">
        <x:v>c-1</x:v>
      </x:c>
      <x:c r="K4" s="44" t="str">
        <x:v>[]</x:v>
      </x:c>
      <x:c r="L4" s="44" t="n">
        <x:v>6</x:v>
      </x:c>
      <x:c r="M4" s="44" t="str">
        <x:v>-6</x:v>
      </x:c>
      <x:c r="N4" s="44" t="str">
        <x:v>https://www.sec.gov/Archives/edgar/data/1692819/000169281926000019/vistra-20260630.htm</x:v>
      </x:c>
      <x:c r="O4" s="44" t="str">
        <x:v>10-Q cash flows, pp. 4–5</x:v>
      </x:c>
      <x:c r="P4" s="70"/>
    </x:row>
    <x:row r="5" ht="52" customHeight="1">
      <x:c r="A5" s="69" t="str">
        <x:v>trust_sales</x:v>
      </x:c>
      <x:c r="B5" s="49" t="n">
        <x:v>3036000000</x:v>
      </x:c>
      <x:c r="C5" s="44" t="str">
        <x:v>Sales of nuclear decommissioning trust securities</x:v>
      </x:c>
      <x:c r="D5" s="50" t="d">
        <x:v>2026-01-01T00:00:00.000Z</x:v>
      </x:c>
      <x:c r="E5" s="50" t="d">
        <x:v>2026-06-30T00:00:00.000Z</x:v>
      </x:c>
      <x:c r="F5" s="44" t="str">
        <x:v>10-Q</x:v>
      </x:c>
      <x:c r="G5" s="50" t="d">
        <x:v>2026-08-10T00:00:00.000Z</x:v>
      </x:c>
      <x:c r="H5" s="44" t="str">
        <x:v>0001692819-26-000019</x:v>
      </x:c>
      <x:c r="I5" s="44" t="str">
        <x:v>us-gaap:ProceedsFromDecommissioningFund</x:v>
      </x:c>
      <x:c r="J5" s="44" t="str">
        <x:v>c-1</x:v>
      </x:c>
      <x:c r="K5" s="44" t="str">
        <x:v>[]</x:v>
      </x:c>
      <x:c r="L5" s="44" t="n">
        <x:v>6</x:v>
      </x:c>
      <x:c r="M5" s="44" t="str">
        <x:v>-6</x:v>
      </x:c>
      <x:c r="N5" s="44" t="str">
        <x:v>https://www.sec.gov/Archives/edgar/data/1692819/000169281926000019/vistra-20260630.htm</x:v>
      </x:c>
      <x:c r="O5" s="44" t="str">
        <x:v>10-Q cash flows, pp. 4–5</x:v>
      </x:c>
      <x:c r="P5" s="70"/>
    </x:row>
    <x:row r="6" ht="52" customHeight="1">
      <x:c r="A6" s="69" t="str">
        <x:v>trust_purchases</x:v>
      </x:c>
      <x:c r="B6" s="49" t="n">
        <x:v>3037000000</x:v>
      </x:c>
      <x:c r="C6" s="44" t="str">
        <x:v>Purchases of nuclear decommissioning trust securities</x:v>
      </x:c>
      <x:c r="D6" s="50" t="d">
        <x:v>2026-01-01T00:00:00.000Z</x:v>
      </x:c>
      <x:c r="E6" s="50" t="d">
        <x:v>2026-06-30T00:00:00.000Z</x:v>
      </x:c>
      <x:c r="F6" s="44" t="str">
        <x:v>10-Q</x:v>
      </x:c>
      <x:c r="G6" s="50" t="d">
        <x:v>2026-08-10T00:00:00.000Z</x:v>
      </x:c>
      <x:c r="H6" s="44" t="str">
        <x:v>0001692819-26-000019</x:v>
      </x:c>
      <x:c r="I6" s="44" t="str">
        <x:v>us-gaap:PaymentsToInvestInDecommissioningFund</x:v>
      </x:c>
      <x:c r="J6" s="44" t="str">
        <x:v>c-1</x:v>
      </x:c>
      <x:c r="K6" s="44" t="str">
        <x:v>[]</x:v>
      </x:c>
      <x:c r="L6" s="44" t="n">
        <x:v>6</x:v>
      </x:c>
      <x:c r="M6" s="44" t="str">
        <x:v>-6</x:v>
      </x:c>
      <x:c r="N6" s="44" t="str">
        <x:v>https://www.sec.gov/Archives/edgar/data/1692819/000169281926000019/vistra-20260630.htm</x:v>
      </x:c>
      <x:c r="O6" s="44" t="str">
        <x:v>10-Q cash flows, pp. 4–5</x:v>
      </x:c>
      <x:c r="P6" s="70"/>
    </x:row>
    <x:row r="7" ht="52" customHeight="1">
      <x:c r="A7" s="69" t="str">
        <x:v>allowance_sales</x:v>
      </x:c>
      <x:c r="B7" s="49" t="n">
        <x:v>128000000</x:v>
      </x:c>
      <x:c r="C7" s="44" t="str">
        <x:v>Environmental allowance sales</x:v>
      </x:c>
      <x:c r="D7" s="50" t="d">
        <x:v>2026-01-01T00:00:00.000Z</x:v>
      </x:c>
      <x:c r="E7" s="50" t="d">
        <x:v>2026-06-30T00:00:00.000Z</x:v>
      </x:c>
      <x:c r="F7" s="44" t="str">
        <x:v>10-Q</x:v>
      </x:c>
      <x:c r="G7" s="50" t="d">
        <x:v>2026-08-10T00:00:00.000Z</x:v>
      </x:c>
      <x:c r="H7" s="44" t="str">
        <x:v>0001692819-26-000019</x:v>
      </x:c>
      <x:c r="I7" s="44" t="str">
        <x:v>us-gaap:ProceedsFromSaleOfIntangibleAssets</x:v>
      </x:c>
      <x:c r="J7" s="44" t="str">
        <x:v>c-1</x:v>
      </x:c>
      <x:c r="K7" s="44" t="str">
        <x:v>[]</x:v>
      </x:c>
      <x:c r="L7" s="44" t="n">
        <x:v>6</x:v>
      </x:c>
      <x:c r="M7" s="44" t="str">
        <x:v>-6</x:v>
      </x:c>
      <x:c r="N7" s="44" t="str">
        <x:v>https://www.sec.gov/Archives/edgar/data/1692819/000169281926000019/vistra-20260630.htm</x:v>
      </x:c>
      <x:c r="O7" s="44" t="str">
        <x:v>10-Q cash flows, pp. 4–5</x:v>
      </x:c>
      <x:c r="P7" s="70"/>
    </x:row>
    <x:row r="8" ht="52" customHeight="1">
      <x:c r="A8" s="69" t="str">
        <x:v>allowance_purchases</x:v>
      </x:c>
      <x:c r="B8" s="49" t="n">
        <x:v>201000000</x:v>
      </x:c>
      <x:c r="C8" s="44" t="str">
        <x:v>Environmental allowance purchases</x:v>
      </x:c>
      <x:c r="D8" s="50" t="d">
        <x:v>2026-01-01T00:00:00.000Z</x:v>
      </x:c>
      <x:c r="E8" s="50" t="d">
        <x:v>2026-06-30T00:00:00.000Z</x:v>
      </x:c>
      <x:c r="F8" s="44" t="str">
        <x:v>10-Q</x:v>
      </x:c>
      <x:c r="G8" s="50" t="d">
        <x:v>2026-08-10T00:00:00.000Z</x:v>
      </x:c>
      <x:c r="H8" s="44" t="str">
        <x:v>0001692819-26-000019</x:v>
      </x:c>
      <x:c r="I8" s="44" t="str">
        <x:v>us-gaap:PaymentsToAcquireIntangibleAssets</x:v>
      </x:c>
      <x:c r="J8" s="44" t="str">
        <x:v>c-1</x:v>
      </x:c>
      <x:c r="K8" s="44" t="str">
        <x:v>[]</x:v>
      </x:c>
      <x:c r="L8" s="44" t="n">
        <x:v>6</x:v>
      </x:c>
      <x:c r="M8" s="44" t="str">
        <x:v>-6</x:v>
      </x:c>
      <x:c r="N8" s="44" t="str">
        <x:v>https://www.sec.gov/Archives/edgar/data/1692819/000169281926000019/vistra-20260630.htm</x:v>
      </x:c>
      <x:c r="O8" s="44" t="str">
        <x:v>10-Q cash flows, pp. 4–5</x:v>
      </x:c>
      <x:c r="P8" s="70"/>
    </x:row>
    <x:row r="9" ht="52" customHeight="1">
      <x:c r="A9" s="69" t="str">
        <x:v>insurance</x:v>
      </x:c>
      <x:c r="B9" s="49" t="n">
        <x:v>234000000</x:v>
      </x:c>
      <x:c r="C9" s="44" t="str">
        <x:v>Insurance recovery of damaged property</x:v>
      </x:c>
      <x:c r="D9" s="50" t="d">
        <x:v>2026-01-01T00:00:00.000Z</x:v>
      </x:c>
      <x:c r="E9" s="50" t="d">
        <x:v>2026-06-30T00:00:00.000Z</x:v>
      </x:c>
      <x:c r="F9" s="44" t="str">
        <x:v>10-Q</x:v>
      </x:c>
      <x:c r="G9" s="50" t="d">
        <x:v>2026-08-10T00:00:00.000Z</x:v>
      </x:c>
      <x:c r="H9" s="44" t="str">
        <x:v>0001692819-26-000019</x:v>
      </x:c>
      <x:c r="I9" s="44" t="str">
        <x:v>us-gaap:ProceedsFromInsuranceSettlementInvestingActivities</x:v>
      </x:c>
      <x:c r="J9" s="44" t="str">
        <x:v>c-1</x:v>
      </x:c>
      <x:c r="K9" s="44" t="str">
        <x:v>[]</x:v>
      </x:c>
      <x:c r="L9" s="44" t="n">
        <x:v>6</x:v>
      </x:c>
      <x:c r="M9" s="44" t="str">
        <x:v>-6</x:v>
      </x:c>
      <x:c r="N9" s="44" t="str">
        <x:v>https://www.sec.gov/Archives/edgar/data/1692819/000169281926000019/vistra-20260630.htm</x:v>
      </x:c>
      <x:c r="O9" s="44" t="str">
        <x:v>10-Q cash flows, pp. 4–5</x:v>
      </x:c>
      <x:c r="P9" s="70"/>
    </x:row>
    <x:row r="10" ht="52" customHeight="1">
      <x:c r="A10" s="69" t="str">
        <x:v>asset_sales</x:v>
      </x:c>
      <x:c r="B10" s="49" t="n">
        <x:v>50000000</x:v>
      </x:c>
      <x:c r="C10" s="44" t="str">
        <x:v>Sales of property and nuclear fuel</x:v>
      </x:c>
      <x:c r="D10" s="50" t="d">
        <x:v>2026-01-01T00:00:00.000Z</x:v>
      </x:c>
      <x:c r="E10" s="50" t="d">
        <x:v>2026-06-30T00:00:00.000Z</x:v>
      </x:c>
      <x:c r="F10" s="44" t="str">
        <x:v>10-Q</x:v>
      </x:c>
      <x:c r="G10" s="50" t="d">
        <x:v>2026-08-10T00:00:00.000Z</x:v>
      </x:c>
      <x:c r="H10" s="44" t="str">
        <x:v>0001692819-26-000019</x:v>
      </x:c>
      <x:c r="I10" s="44" t="str">
        <x:v>us-gaap:ProceedsFromSaleOfOtherProductiveAssets</x:v>
      </x:c>
      <x:c r="J10" s="44" t="str">
        <x:v>c-1</x:v>
      </x:c>
      <x:c r="K10" s="44" t="str">
        <x:v>[]</x:v>
      </x:c>
      <x:c r="L10" s="44" t="n">
        <x:v>6</x:v>
      </x:c>
      <x:c r="M10" s="44" t="str">
        <x:v>-6</x:v>
      </x:c>
      <x:c r="N10" s="44" t="str">
        <x:v>https://www.sec.gov/Archives/edgar/data/1692819/000169281926000019/vistra-20260630.htm</x:v>
      </x:c>
      <x:c r="O10" s="44" t="str">
        <x:v>10-Q cash flows, pp. 4–5</x:v>
      </x:c>
      <x:c r="P10" s="70"/>
    </x:row>
    <x:row r="11" ht="52" customHeight="1">
      <x:c r="A11" s="69" t="str">
        <x:v>other_investing</x:v>
      </x:c>
      <x:c r="B11" s="49" t="n">
        <x:v>-77000000</x:v>
      </x:c>
      <x:c r="C11" s="44" t="str">
        <x:v>Other investing cash flow</x:v>
      </x:c>
      <x:c r="D11" s="50" t="d">
        <x:v>2026-01-01T00:00:00.000Z</x:v>
      </x:c>
      <x:c r="E11" s="50" t="d">
        <x:v>2026-06-30T00:00:00.000Z</x:v>
      </x:c>
      <x:c r="F11" s="44" t="str">
        <x:v>10-Q</x:v>
      </x:c>
      <x:c r="G11" s="50" t="d">
        <x:v>2026-08-10T00:00:00.000Z</x:v>
      </x:c>
      <x:c r="H11" s="44" t="str">
        <x:v>0001692819-26-000019</x:v>
      </x:c>
      <x:c r="I11" s="44" t="str">
        <x:v>us-gaap:PaymentsForProceedsFromOtherInvestingActivities</x:v>
      </x:c>
      <x:c r="J11" s="44" t="str">
        <x:v>c-1</x:v>
      </x:c>
      <x:c r="K11" s="44" t="str">
        <x:v>[]</x:v>
      </x:c>
      <x:c r="L11" s="44" t="n">
        <x:v>6</x:v>
      </x:c>
      <x:c r="M11" s="44" t="str">
        <x:v>-6</x:v>
      </x:c>
      <x:c r="N11" s="44" t="str">
        <x:v>https://www.sec.gov/Archives/edgar/data/1692819/000169281926000019/vistra-20260630.htm</x:v>
      </x:c>
      <x:c r="O11" s="44" t="str">
        <x:v>10-Q cash flows, pp. 4–5</x:v>
      </x:c>
      <x:c r="P11" s="70"/>
    </x:row>
    <x:row r="12" ht="52" customHeight="1">
      <x:c r="A12" s="69" t="str">
        <x:v>investing</x:v>
      </x:c>
      <x:c r="B12" s="49" t="n">
        <x:v>-1279000000</x:v>
      </x:c>
      <x:c r="C12" s="44" t="str">
        <x:v>Reported net investing cash flow</x:v>
      </x:c>
      <x:c r="D12" s="50" t="d">
        <x:v>2026-01-01T00:00:00.000Z</x:v>
      </x:c>
      <x:c r="E12" s="50" t="d">
        <x:v>2026-06-30T00:00:00.000Z</x:v>
      </x:c>
      <x:c r="F12" s="44" t="str">
        <x:v>10-Q</x:v>
      </x:c>
      <x:c r="G12" s="50" t="d">
        <x:v>2026-08-10T00:00:00.000Z</x:v>
      </x:c>
      <x:c r="H12" s="44" t="str">
        <x:v>0001692819-26-000019</x:v>
      </x:c>
      <x:c r="I12" s="44" t="str">
        <x:v>us-gaap:NetCashProvidedByUsedInInvestingActivities</x:v>
      </x:c>
      <x:c r="J12" s="44" t="str">
        <x:v>c-1</x:v>
      </x:c>
      <x:c r="K12" s="44" t="str">
        <x:v>[]</x:v>
      </x:c>
      <x:c r="L12" s="44" t="n">
        <x:v>6</x:v>
      </x:c>
      <x:c r="M12" s="44" t="str">
        <x:v>-6</x:v>
      </x:c>
      <x:c r="N12" s="44" t="str">
        <x:v>https://www.sec.gov/Archives/edgar/data/1692819/000169281926000019/vistra-20260630.htm</x:v>
      </x:c>
      <x:c r="O12" s="44" t="str">
        <x:v>10-Q cash flows, pp. 4–5</x:v>
      </x:c>
      <x:c r="P12" s="70"/>
    </x:row>
    <x:row r="13" ht="52" customHeight="1">
      <x:c r="A13" s="69" t="str">
        <x:v>debt_issued</x:v>
      </x:c>
      <x:c r="B13" s="49" t="n">
        <x:v>6422000000</x:v>
      </x:c>
      <x:c r="C13" s="44" t="str">
        <x:v>Debt issuance cash proceeds</x:v>
      </x:c>
      <x:c r="D13" s="50" t="d">
        <x:v>2026-01-01T00:00:00.000Z</x:v>
      </x:c>
      <x:c r="E13" s="50" t="d">
        <x:v>2026-06-30T00:00:00.000Z</x:v>
      </x:c>
      <x:c r="F13" s="44" t="str">
        <x:v>10-Q</x:v>
      </x:c>
      <x:c r="G13" s="50" t="d">
        <x:v>2026-08-10T00:00:00.000Z</x:v>
      </x:c>
      <x:c r="H13" s="44" t="str">
        <x:v>0001692819-26-000019</x:v>
      </x:c>
      <x:c r="I13" s="44" t="str">
        <x:v>us-gaap:ProceedsFromIssuanceOfDebt</x:v>
      </x:c>
      <x:c r="J13" s="44" t="str">
        <x:v>c-1</x:v>
      </x:c>
      <x:c r="K13" s="44" t="str">
        <x:v>[]</x:v>
      </x:c>
      <x:c r="L13" s="44" t="n">
        <x:v>6</x:v>
      </x:c>
      <x:c r="M13" s="44" t="str">
        <x:v>-6</x:v>
      </x:c>
      <x:c r="N13" s="44" t="str">
        <x:v>https://www.sec.gov/Archives/edgar/data/1692819/000169281926000019/vistra-20260630.htm</x:v>
      </x:c>
      <x:c r="O13" s="44" t="str">
        <x:v>10-Q cash flows, pp. 4–5</x:v>
      </x:c>
      <x:c r="P13" s="70"/>
    </x:row>
    <x:row r="14" ht="52" customHeight="1">
      <x:c r="A14" s="69" t="str">
        <x:v>debt_repaid</x:v>
      </x:c>
      <x:c r="B14" s="49" t="n">
        <x:v>3859000000</x:v>
      </x:c>
      <x:c r="C14" s="44" t="str">
        <x:v>Debt repayments and repurchases</x:v>
      </x:c>
      <x:c r="D14" s="50" t="d">
        <x:v>2026-01-01T00:00:00.000Z</x:v>
      </x:c>
      <x:c r="E14" s="50" t="d">
        <x:v>2026-06-30T00:00:00.000Z</x:v>
      </x:c>
      <x:c r="F14" s="44" t="str">
        <x:v>10-Q</x:v>
      </x:c>
      <x:c r="G14" s="50" t="d">
        <x:v>2026-08-10T00:00:00.000Z</x:v>
      </x:c>
      <x:c r="H14" s="44" t="str">
        <x:v>0001692819-26-000019</x:v>
      </x:c>
      <x:c r="I14" s="44" t="str">
        <x:v>us-gaap:RepaymentsOfLongTermDebt</x:v>
      </x:c>
      <x:c r="J14" s="44" t="str">
        <x:v>c-1</x:v>
      </x:c>
      <x:c r="K14" s="44" t="str">
        <x:v>[]</x:v>
      </x:c>
      <x:c r="L14" s="44" t="n">
        <x:v>6</x:v>
      </x:c>
      <x:c r="M14" s="44" t="str">
        <x:v>-6</x:v>
      </x:c>
      <x:c r="N14" s="44" t="str">
        <x:v>https://www.sec.gov/Archives/edgar/data/1692819/000169281926000019/vistra-20260630.htm</x:v>
      </x:c>
      <x:c r="O14" s="44" t="str">
        <x:v>10-Q cash flows, pp. 4–5</x:v>
      </x:c>
      <x:c r="P14" s="70"/>
    </x:row>
    <x:row r="15" ht="52" customHeight="1">
      <x:c r="A15" s="69" t="str">
        <x:v>receivables_net</x:v>
      </x:c>
      <x:c r="B15" s="49" t="n">
        <x:v>-925000000</x:v>
      </x:c>
      <x:c r="C15" s="44" t="str">
        <x:v>Receivables financing, net repayments</x:v>
      </x:c>
      <x:c r="D15" s="50" t="d">
        <x:v>2026-01-01T00:00:00.000Z</x:v>
      </x:c>
      <x:c r="E15" s="50" t="d">
        <x:v>2026-06-30T00:00:00.000Z</x:v>
      </x:c>
      <x:c r="F15" s="44" t="str">
        <x:v>10-Q</x:v>
      </x:c>
      <x:c r="G15" s="50" t="d">
        <x:v>2026-08-10T00:00:00.000Z</x:v>
      </x:c>
      <x:c r="H15" s="44" t="str">
        <x:v>0001692819-26-000019</x:v>
      </x:c>
      <x:c r="I15" s="44" t="str">
        <x:v>vistra:ProceedsFromRepaymentsOfAccountsReceivableFinancing</x:v>
      </x:c>
      <x:c r="J15" s="44" t="str">
        <x:v>c-1</x:v>
      </x:c>
      <x:c r="K15" s="44" t="str">
        <x:v>[]</x:v>
      </x:c>
      <x:c r="L15" s="44" t="n">
        <x:v>6</x:v>
      </x:c>
      <x:c r="M15" s="44" t="str">
        <x:v>-6</x:v>
      </x:c>
      <x:c r="N15" s="44" t="str">
        <x:v>https://www.sec.gov/Archives/edgar/data/1692819/000169281926000019/vistra-20260630.htm</x:v>
      </x:c>
      <x:c r="O15" s="44" t="str">
        <x:v>10-Q cash flows, pp. 4–5</x:v>
      </x:c>
      <x:c r="P15" s="70"/>
    </x:row>
    <x:row r="16" ht="52" customHeight="1">
      <x:c r="A16" s="69" t="str">
        <x:v>revolver_draws</x:v>
      </x:c>
      <x:c r="B16" s="49" t="n">
        <x:v>400000000</x:v>
      </x:c>
      <x:c r="C16" s="44" t="str">
        <x:v>Revolver borrowings</x:v>
      </x:c>
      <x:c r="D16" s="50" t="d">
        <x:v>2026-01-01T00:00:00.000Z</x:v>
      </x:c>
      <x:c r="E16" s="50" t="d">
        <x:v>2026-06-30T00:00:00.000Z</x:v>
      </x:c>
      <x:c r="F16" s="44" t="str">
        <x:v>10-Q</x:v>
      </x:c>
      <x:c r="G16" s="50" t="d">
        <x:v>2026-08-10T00:00:00.000Z</x:v>
      </x:c>
      <x:c r="H16" s="44" t="str">
        <x:v>0001692819-26-000019</x:v>
      </x:c>
      <x:c r="I16" s="44" t="str">
        <x:v>us-gaap:ProceedsFromLinesOfCredit</x:v>
      </x:c>
      <x:c r="J16" s="44" t="str">
        <x:v>c-1</x:v>
      </x:c>
      <x:c r="K16" s="44" t="str">
        <x:v>[]</x:v>
      </x:c>
      <x:c r="L16" s="44" t="n">
        <x:v>6</x:v>
      </x:c>
      <x:c r="M16" s="44" t="str">
        <x:v>-6</x:v>
      </x:c>
      <x:c r="N16" s="44" t="str">
        <x:v>https://www.sec.gov/Archives/edgar/data/1692819/000169281926000019/vistra-20260630.htm</x:v>
      </x:c>
      <x:c r="O16" s="44" t="str">
        <x:v>10-Q cash flows, pp. 4–5</x:v>
      </x:c>
      <x:c r="P16" s="70"/>
    </x:row>
    <x:row r="17" ht="52" customHeight="1">
      <x:c r="A17" s="69" t="str">
        <x:v>revolver_repaid</x:v>
      </x:c>
      <x:c r="B17" s="49" t="n">
        <x:v>780000000</x:v>
      </x:c>
      <x:c r="C17" s="44" t="str">
        <x:v>Revolver repayments</x:v>
      </x:c>
      <x:c r="D17" s="50" t="d">
        <x:v>2026-01-01T00:00:00.000Z</x:v>
      </x:c>
      <x:c r="E17" s="50" t="d">
        <x:v>2026-06-30T00:00:00.000Z</x:v>
      </x:c>
      <x:c r="F17" s="44" t="str">
        <x:v>10-Q</x:v>
      </x:c>
      <x:c r="G17" s="50" t="d">
        <x:v>2026-08-10T00:00:00.000Z</x:v>
      </x:c>
      <x:c r="H17" s="44" t="str">
        <x:v>0001692819-26-000019</x:v>
      </x:c>
      <x:c r="I17" s="44" t="str">
        <x:v>us-gaap:RepaymentsOfLinesOfCredit</x:v>
      </x:c>
      <x:c r="J17" s="44" t="str">
        <x:v>c-1</x:v>
      </x:c>
      <x:c r="K17" s="44" t="str">
        <x:v>[]</x:v>
      </x:c>
      <x:c r="L17" s="44" t="n">
        <x:v>6</x:v>
      </x:c>
      <x:c r="M17" s="44" t="str">
        <x:v>-6</x:v>
      </x:c>
      <x:c r="N17" s="44" t="str">
        <x:v>https://www.sec.gov/Archives/edgar/data/1692819/000169281926000019/vistra-20260630.htm</x:v>
      </x:c>
      <x:c r="O17" s="44" t="str">
        <x:v>10-Q cash flows, pp. 4–5</x:v>
      </x:c>
      <x:c r="P17" s="70"/>
    </x:row>
    <x:row r="18" ht="52" customHeight="1">
      <x:c r="A18" s="69" t="str">
        <x:v>commodity_draws</x:v>
      </x:c>
      <x:c r="B18" s="49" t="n">
        <x:v>0</x:v>
      </x:c>
      <x:c r="C18" s="44" t="str">
        <x:v>Commodity-linked borrowings</x:v>
      </x:c>
      <x:c r="D18" s="50" t="d">
        <x:v>2026-01-01T00:00:00.000Z</x:v>
      </x:c>
      <x:c r="E18" s="50" t="d">
        <x:v>2026-06-30T00:00:00.000Z</x:v>
      </x:c>
      <x:c r="F18" s="44" t="str">
        <x:v>10-Q</x:v>
      </x:c>
      <x:c r="G18" s="50" t="d">
        <x:v>2026-08-10T00:00:00.000Z</x:v>
      </x:c>
      <x:c r="H18" s="44" t="str">
        <x:v>0001692819-26-000019</x:v>
      </x:c>
      <x:c r="I18" s="44" t="str">
        <x:v>us-gaap:ProceedsFromShortTermDebt</x:v>
      </x:c>
      <x:c r="J18" s="44" t="str">
        <x:v>c-1</x:v>
      </x:c>
      <x:c r="K18" s="44" t="str">
        <x:v>[]</x:v>
      </x:c>
      <x:c r="L18" s="44" t="n">
        <x:v>6</x:v>
      </x:c>
      <x:c r="M18" s="44" t="str">
        <x:v>-6</x:v>
      </x:c>
      <x:c r="N18" s="44" t="str">
        <x:v>https://www.sec.gov/Archives/edgar/data/1692819/000169281926000019/vistra-20260630.htm</x:v>
      </x:c>
      <x:c r="O18" s="44" t="str">
        <x:v>10-Q cash flows, pp. 4–5</x:v>
      </x:c>
      <x:c r="P18" s="70"/>
    </x:row>
    <x:row r="19" ht="52" customHeight="1">
      <x:c r="A19" s="69" t="str">
        <x:v>commodity_repaid</x:v>
      </x:c>
      <x:c r="B19" s="49" t="n">
        <x:v>1420000000</x:v>
      </x:c>
      <x:c r="C19" s="44" t="str">
        <x:v>Commodity-linked repayments</x:v>
      </x:c>
      <x:c r="D19" s="50" t="d">
        <x:v>2026-01-01T00:00:00.000Z</x:v>
      </x:c>
      <x:c r="E19" s="50" t="d">
        <x:v>2026-06-30T00:00:00.000Z</x:v>
      </x:c>
      <x:c r="F19" s="44" t="str">
        <x:v>10-Q</x:v>
      </x:c>
      <x:c r="G19" s="50" t="d">
        <x:v>2026-08-10T00:00:00.000Z</x:v>
      </x:c>
      <x:c r="H19" s="44" t="str">
        <x:v>0001692819-26-000019</x:v>
      </x:c>
      <x:c r="I19" s="44" t="str">
        <x:v>us-gaap:RepaymentsOfShortTermDebt</x:v>
      </x:c>
      <x:c r="J19" s="44" t="str">
        <x:v>c-1</x:v>
      </x:c>
      <x:c r="K19" s="44" t="str">
        <x:v>[]</x:v>
      </x:c>
      <x:c r="L19" s="44" t="n">
        <x:v>6</x:v>
      </x:c>
      <x:c r="M19" s="44" t="str">
        <x:v>-6</x:v>
      </x:c>
      <x:c r="N19" s="44" t="str">
        <x:v>https://www.sec.gov/Archives/edgar/data/1692819/000169281926000019/vistra-20260630.htm</x:v>
      </x:c>
      <x:c r="O19" s="44" t="str">
        <x:v>10-Q cash flows, pp. 4–5</x:v>
      </x:c>
      <x:c r="P19" s="70"/>
    </x:row>
    <x:row r="20" ht="52" customHeight="1">
      <x:c r="A20" s="69" t="str">
        <x:v>fees</x:v>
      </x:c>
      <x:c r="B20" s="49" t="n">
        <x:v>72000000</x:v>
      </x:c>
      <x:c r="C20" s="44" t="str">
        <x:v>Debt issuance costs paid</x:v>
      </x:c>
      <x:c r="D20" s="50" t="d">
        <x:v>2026-01-01T00:00:00.000Z</x:v>
      </x:c>
      <x:c r="E20" s="50" t="d">
        <x:v>2026-06-30T00:00:00.000Z</x:v>
      </x:c>
      <x:c r="F20" s="44" t="str">
        <x:v>10-Q</x:v>
      </x:c>
      <x:c r="G20" s="50" t="d">
        <x:v>2026-08-10T00:00:00.000Z</x:v>
      </x:c>
      <x:c r="H20" s="44" t="str">
        <x:v>0001692819-26-000019</x:v>
      </x:c>
      <x:c r="I20" s="44" t="str">
        <x:v>us-gaap:PaymentsOfFinancingCosts</x:v>
      </x:c>
      <x:c r="J20" s="44" t="str">
        <x:v>c-1</x:v>
      </x:c>
      <x:c r="K20" s="44" t="str">
        <x:v>[]</x:v>
      </x:c>
      <x:c r="L20" s="44" t="n">
        <x:v>6</x:v>
      </x:c>
      <x:c r="M20" s="44" t="str">
        <x:v>-6</x:v>
      </x:c>
      <x:c r="N20" s="44" t="str">
        <x:v>https://www.sec.gov/Archives/edgar/data/1692819/000169281926000019/vistra-20260630.htm</x:v>
      </x:c>
      <x:c r="O20" s="44" t="str">
        <x:v>10-Q cash flows, pp. 4–5</x:v>
      </x:c>
      <x:c r="P20" s="70"/>
    </x:row>
    <x:row r="21" ht="52" customHeight="1">
      <x:c r="A21" s="69" t="str">
        <x:v>buybacks</x:v>
      </x:c>
      <x:c r="B21" s="49" t="n">
        <x:v>709000000</x:v>
      </x:c>
      <x:c r="C21" s="44" t="str">
        <x:v>Stock repurchases</x:v>
      </x:c>
      <x:c r="D21" s="50" t="d">
        <x:v>2026-01-01T00:00:00.000Z</x:v>
      </x:c>
      <x:c r="E21" s="50" t="d">
        <x:v>2026-06-30T00:00:00.000Z</x:v>
      </x:c>
      <x:c r="F21" s="44" t="str">
        <x:v>10-Q</x:v>
      </x:c>
      <x:c r="G21" s="50" t="d">
        <x:v>2026-08-10T00:00:00.000Z</x:v>
      </x:c>
      <x:c r="H21" s="44" t="str">
        <x:v>0001692819-26-000019</x:v>
      </x:c>
      <x:c r="I21" s="44" t="str">
        <x:v>us-gaap:PaymentsForRepurchaseOfCommonStock</x:v>
      </x:c>
      <x:c r="J21" s="44" t="str">
        <x:v>c-1</x:v>
      </x:c>
      <x:c r="K21" s="44" t="str">
        <x:v>[]</x:v>
      </x:c>
      <x:c r="L21" s="44" t="n">
        <x:v>6</x:v>
      </x:c>
      <x:c r="M21" s="44" t="str">
        <x:v>-6</x:v>
      </x:c>
      <x:c r="N21" s="44" t="str">
        <x:v>https://www.sec.gov/Archives/edgar/data/1692819/000169281926000019/vistra-20260630.htm</x:v>
      </x:c>
      <x:c r="O21" s="44" t="str">
        <x:v>10-Q cash flows, pp. 4–5</x:v>
      </x:c>
      <x:c r="P21" s="70"/>
    </x:row>
    <x:row r="22" ht="52" customHeight="1">
      <x:c r="A22" s="69" t="str">
        <x:v>common_dividends</x:v>
      </x:c>
      <x:c r="B22" s="49" t="n">
        <x:v>154000000</x:v>
      </x:c>
      <x:c r="C22" s="44" t="str">
        <x:v>Common dividends paid</x:v>
      </x:c>
      <x:c r="D22" s="50" t="d">
        <x:v>2026-01-01T00:00:00.000Z</x:v>
      </x:c>
      <x:c r="E22" s="50" t="d">
        <x:v>2026-06-30T00:00:00.000Z</x:v>
      </x:c>
      <x:c r="F22" s="44" t="str">
        <x:v>10-Q</x:v>
      </x:c>
      <x:c r="G22" s="50" t="d">
        <x:v>2026-08-10T00:00:00.000Z</x:v>
      </x:c>
      <x:c r="H22" s="44" t="str">
        <x:v>0001692819-26-000019</x:v>
      </x:c>
      <x:c r="I22" s="44" t="str">
        <x:v>us-gaap:PaymentsOfDividendsCommonStock</x:v>
      </x:c>
      <x:c r="J22" s="44" t="str">
        <x:v>c-1</x:v>
      </x:c>
      <x:c r="K22" s="44" t="str">
        <x:v>[]</x:v>
      </x:c>
      <x:c r="L22" s="44" t="n">
        <x:v>6</x:v>
      </x:c>
      <x:c r="M22" s="44" t="str">
        <x:v>-6</x:v>
      </x:c>
      <x:c r="N22" s="44" t="str">
        <x:v>https://www.sec.gov/Archives/edgar/data/1692819/000169281926000019/vistra-20260630.htm</x:v>
      </x:c>
      <x:c r="O22" s="44" t="str">
        <x:v>10-Q cash flows, pp. 4–5</x:v>
      </x:c>
      <x:c r="P22" s="70"/>
    </x:row>
    <x:row r="23" ht="52" customHeight="1">
      <x:c r="A23" s="69" t="str">
        <x:v>preferred_dividends</x:v>
      </x:c>
      <x:c r="B23" s="49" t="n">
        <x:v>96000000</x:v>
      </x:c>
      <x:c r="C23" s="44" t="str">
        <x:v>Preferred dividends paid</x:v>
      </x:c>
      <x:c r="D23" s="50" t="d">
        <x:v>2026-01-01T00:00:00.000Z</x:v>
      </x:c>
      <x:c r="E23" s="50" t="d">
        <x:v>2026-06-30T00:00:00.000Z</x:v>
      </x:c>
      <x:c r="F23" s="44" t="str">
        <x:v>10-Q</x:v>
      </x:c>
      <x:c r="G23" s="50" t="d">
        <x:v>2026-08-10T00:00:00.000Z</x:v>
      </x:c>
      <x:c r="H23" s="44" t="str">
        <x:v>0001692819-26-000019</x:v>
      </x:c>
      <x:c r="I23" s="44" t="str">
        <x:v>us-gaap:PaymentsOfDividendsPreferredStockAndPreferenceStock</x:v>
      </x:c>
      <x:c r="J23" s="44" t="str">
        <x:v>c-1</x:v>
      </x:c>
      <x:c r="K23" s="44" t="str">
        <x:v>[]</x:v>
      </x:c>
      <x:c r="L23" s="44" t="n">
        <x:v>6</x:v>
      </x:c>
      <x:c r="M23" s="44" t="str">
        <x:v>-6</x:v>
      </x:c>
      <x:c r="N23" s="44" t="str">
        <x:v>https://www.sec.gov/Archives/edgar/data/1692819/000169281926000019/vistra-20260630.htm</x:v>
      </x:c>
      <x:c r="O23" s="44" t="str">
        <x:v>10-Q cash flows, pp. 4–5</x:v>
      </x:c>
      <x:c r="P23" s="70"/>
    </x:row>
    <x:row r="24" ht="52" customHeight="1">
      <x:c r="A24" s="69" t="str">
        <x:v>withholding</x:v>
      </x:c>
      <x:c r="B24" s="49" t="n">
        <x:v>69000000</x:v>
      </x:c>
      <x:c r="C24" s="44" t="str">
        <x:v>Share compensation tax withholding</x:v>
      </x:c>
      <x:c r="D24" s="50" t="d">
        <x:v>2026-01-01T00:00:00.000Z</x:v>
      </x:c>
      <x:c r="E24" s="50" t="d">
        <x:v>2026-06-30T00:00:00.000Z</x:v>
      </x:c>
      <x:c r="F24" s="44" t="str">
        <x:v>10-Q</x:v>
      </x:c>
      <x:c r="G24" s="50" t="d">
        <x:v>2026-08-10T00:00:00.000Z</x:v>
      </x:c>
      <x:c r="H24" s="44" t="str">
        <x:v>0001692819-26-000019</x:v>
      </x:c>
      <x:c r="I24" s="44" t="str">
        <x:v>us-gaap:PaymentsRelatedToTaxWithholdingForShareBasedCompensation</x:v>
      </x:c>
      <x:c r="J24" s="44" t="str">
        <x:v>c-1</x:v>
      </x:c>
      <x:c r="K24" s="44" t="str">
        <x:v>[]</x:v>
      </x:c>
      <x:c r="L24" s="44" t="n">
        <x:v>6</x:v>
      </x:c>
      <x:c r="M24" s="44" t="str">
        <x:v>-6</x:v>
      </x:c>
      <x:c r="N24" s="44" t="str">
        <x:v>https://www.sec.gov/Archives/edgar/data/1692819/000169281926000019/vistra-20260630.htm</x:v>
      </x:c>
      <x:c r="O24" s="44" t="str">
        <x:v>10-Q cash flows, pp. 4–5</x:v>
      </x:c>
      <x:c r="P24" s="70"/>
    </x:row>
    <x:row r="25" ht="52" customHeight="1">
      <x:c r="A25" s="69" t="str">
        <x:v>nuveen_principal_paid</x:v>
      </x:c>
      <x:c r="B25" s="49" t="n">
        <x:v>19000000</x:v>
      </x:c>
      <x:c r="C25" s="44" t="str">
        <x:v>Nuveen principal paid</x:v>
      </x:c>
      <x:c r="D25" s="50" t="d">
        <x:v>2026-01-01T00:00:00.000Z</x:v>
      </x:c>
      <x:c r="E25" s="50" t="d">
        <x:v>2026-06-30T00:00:00.000Z</x:v>
      </x:c>
      <x:c r="F25" s="44" t="str">
        <x:v>10-Q</x:v>
      </x:c>
      <x:c r="G25" s="50" t="d">
        <x:v>2026-08-10T00:00:00.000Z</x:v>
      </x:c>
      <x:c r="H25" s="44" t="str">
        <x:v>0001692819-26-000019</x:v>
      </x:c>
      <x:c r="I25" s="44" t="str">
        <x:v>vistra:RedeemableNoncontrollingInterestPrincipalPayment</x:v>
      </x:c>
      <x:c r="J25" s="44" t="str">
        <x:v>c-1</x:v>
      </x:c>
      <x:c r="K25" s="44" t="str">
        <x:v>[]</x:v>
      </x:c>
      <x:c r="L25" s="44" t="n">
        <x:v>6</x:v>
      </x:c>
      <x:c r="M25" s="44" t="str">
        <x:v>-6</x:v>
      </x:c>
      <x:c r="N25" s="44" t="str">
        <x:v>https://www.sec.gov/Archives/edgar/data/1692819/000169281926000019/vistra-20260630.htm</x:v>
      </x:c>
      <x:c r="O25" s="44" t="str">
        <x:v>10-Q cash flows, pp. 4–5</x:v>
      </x:c>
      <x:c r="P25" s="70"/>
    </x:row>
    <x:row r="26" ht="52" customHeight="1">
      <x:c r="A26" s="69" t="str">
        <x:v>other_financing</x:v>
      </x:c>
      <x:c r="B26" s="49" t="n">
        <x:v>-3000000</x:v>
      </x:c>
      <x:c r="C26" s="44" t="str">
        <x:v>Other financing cash flow</x:v>
      </x:c>
      <x:c r="D26" s="50" t="d">
        <x:v>2026-01-01T00:00:00.000Z</x:v>
      </x:c>
      <x:c r="E26" s="50" t="d">
        <x:v>2026-06-30T00:00:00.000Z</x:v>
      </x:c>
      <x:c r="F26" s="44" t="str">
        <x:v>10-Q</x:v>
      </x:c>
      <x:c r="G26" s="50" t="d">
        <x:v>2026-08-10T00:00:00.000Z</x:v>
      </x:c>
      <x:c r="H26" s="44" t="str">
        <x:v>0001692819-26-000019</x:v>
      </x:c>
      <x:c r="I26" s="44" t="str">
        <x:v>us-gaap:ProceedsFromPaymentsForOtherFinancingActivities</x:v>
      </x:c>
      <x:c r="J26" s="44" t="str">
        <x:v>c-1</x:v>
      </x:c>
      <x:c r="K26" s="44" t="str">
        <x:v>[]</x:v>
      </x:c>
      <x:c r="L26" s="44" t="n">
        <x:v>6</x:v>
      </x:c>
      <x:c r="M26" s="44" t="str">
        <x:v>-6</x:v>
      </x:c>
      <x:c r="N26" s="44" t="str">
        <x:v>https://www.sec.gov/Archives/edgar/data/1692819/000169281926000019/vistra-20260630.htm</x:v>
      </x:c>
      <x:c r="O26" s="44" t="str">
        <x:v>10-Q cash flows, pp. 4–5</x:v>
      </x:c>
      <x:c r="P26" s="70"/>
    </x:row>
    <x:row r="27" ht="52" customHeight="1">
      <x:c r="A27" s="69" t="str">
        <x:v>financing</x:v>
      </x:c>
      <x:c r="B27" s="49" t="n">
        <x:v>-1284000000</x:v>
      </x:c>
      <x:c r="C27" s="44" t="str">
        <x:v>Reported net financing cash flow</x:v>
      </x:c>
      <x:c r="D27" s="50" t="d">
        <x:v>2026-01-01T00:00:00.000Z</x:v>
      </x:c>
      <x:c r="E27" s="50" t="d">
        <x:v>2026-06-30T00:00:00.000Z</x:v>
      </x:c>
      <x:c r="F27" s="44" t="str">
        <x:v>10-Q</x:v>
      </x:c>
      <x:c r="G27" s="50" t="d">
        <x:v>2026-08-10T00:00:00.000Z</x:v>
      </x:c>
      <x:c r="H27" s="44" t="str">
        <x:v>0001692819-26-000019</x:v>
      </x:c>
      <x:c r="I27" s="44" t="str">
        <x:v>us-gaap:NetCashProvidedByUsedInFinancingActivities</x:v>
      </x:c>
      <x:c r="J27" s="44" t="str">
        <x:v>c-1</x:v>
      </x:c>
      <x:c r="K27" s="44" t="str">
        <x:v>[]</x:v>
      </x:c>
      <x:c r="L27" s="44" t="n">
        <x:v>6</x:v>
      </x:c>
      <x:c r="M27" s="44" t="str">
        <x:v>-6</x:v>
      </x:c>
      <x:c r="N27" s="44" t="str">
        <x:v>https://www.sec.gov/Archives/edgar/data/1692819/000169281926000019/vistra-20260630.htm</x:v>
      </x:c>
      <x:c r="O27" s="44" t="str">
        <x:v>10-Q cash flows, pp. 4–5</x:v>
      </x:c>
      <x:c r="P27" s="70"/>
    </x:row>
    <x:row r="28" ht="52" customHeight="1">
      <x:c r="A28" s="69" t="str">
        <x:v>change</x:v>
      </x:c>
      <x:c r="B28" s="49" t="n">
        <x:v>-341000000</x:v>
      </x:c>
      <x:c r="C28" s="44" t="str">
        <x:v>Reported cash change including restricted cash</x:v>
      </x:c>
      <x:c r="D28" s="50" t="d">
        <x:v>2026-01-01T00:00:00.000Z</x:v>
      </x:c>
      <x:c r="E28" s="50" t="d">
        <x:v>2026-06-30T00:00:00.000Z</x:v>
      </x:c>
      <x:c r="F28" s="44" t="str">
        <x:v>10-Q</x:v>
      </x:c>
      <x:c r="G28" s="50" t="d">
        <x:v>2026-08-10T00:00:00.000Z</x:v>
      </x:c>
      <x:c r="H28" s="44" t="str">
        <x:v>0001692819-26-000019</x:v>
      </x:c>
      <x:c r="I28" s="44" t="str">
        <x:v>us-gaap:CashCashEquivalentsRestrictedCashAndRestrictedCashEquivalentsPeriodIncreaseDecreaseIncludingExchangeRateEffect</x:v>
      </x:c>
      <x:c r="J28" s="44" t="str">
        <x:v>c-1</x:v>
      </x:c>
      <x:c r="K28" s="44" t="str">
        <x:v>[]</x:v>
      </x:c>
      <x:c r="L28" s="44" t="n">
        <x:v>6</x:v>
      </x:c>
      <x:c r="M28" s="44" t="str">
        <x:v>-6</x:v>
      </x:c>
      <x:c r="N28" s="44" t="str">
        <x:v>https://www.sec.gov/Archives/edgar/data/1692819/000169281926000019/vistra-20260630.htm</x:v>
      </x:c>
      <x:c r="O28" s="44" t="str">
        <x:v>10-Q cash flows, pp. 4–5</x:v>
      </x:c>
      <x:c r="P28" s="70"/>
    </x:row>
    <x:row r="29" ht="52" customHeight="1">
      <x:c r="A29" s="69" t="str">
        <x:v>opening_total</x:v>
      </x:c>
      <x:c r="B29" s="49" t="n">
        <x:v>822000000</x:v>
      </x:c>
      <x:c r="C29" s="44" t="str">
        <x:v>Opening cash including restricted cash</x:v>
      </x:c>
      <x:c r="D29" s="50"/>
      <x:c r="E29" s="50" t="d">
        <x:v>2025-12-31T00:00:00.000Z</x:v>
      </x:c>
      <x:c r="F29" s="44" t="str">
        <x:v>10-Q</x:v>
      </x:c>
      <x:c r="G29" s="50" t="d">
        <x:v>2026-08-10T00:00:00.000Z</x:v>
      </x:c>
      <x:c r="H29" s="44" t="str">
        <x:v>0001692819-26-000019</x:v>
      </x:c>
      <x:c r="I29" s="44" t="str">
        <x:v>us-gaap:CashCashEquivalentsRestrictedCashAndRestrictedCashEquivalents</x:v>
      </x:c>
      <x:c r="J29" s="44" t="str">
        <x:v>c-9</x:v>
      </x:c>
      <x:c r="K29" s="44" t="str">
        <x:v>[]</x:v>
      </x:c>
      <x:c r="L29" s="44" t="n">
        <x:v>6</x:v>
      </x:c>
      <x:c r="M29" s="44" t="str">
        <x:v>-6</x:v>
      </x:c>
      <x:c r="N29" s="44" t="str">
        <x:v>https://www.sec.gov/Archives/edgar/data/1692819/000169281926000019/vistra-20260630.htm</x:v>
      </x:c>
      <x:c r="O29" s="44" t="str">
        <x:v>10-Q balance sheet p. 2; cash flows p. 5; Note 12</x:v>
      </x:c>
      <x:c r="P29" s="70"/>
    </x:row>
    <x:row r="30" ht="52" customHeight="1">
      <x:c r="A30" s="69" t="str">
        <x:v>closing_total</x:v>
      </x:c>
      <x:c r="B30" s="49" t="n">
        <x:v>481000000</x:v>
      </x:c>
      <x:c r="C30" s="44" t="str">
        <x:v>Ending cash including restricted cash</x:v>
      </x:c>
      <x:c r="D30" s="50"/>
      <x:c r="E30" s="50" t="d">
        <x:v>2026-06-30T00:00:00.000Z</x:v>
      </x:c>
      <x:c r="F30" s="44" t="str">
        <x:v>10-Q</x:v>
      </x:c>
      <x:c r="G30" s="50" t="d">
        <x:v>2026-08-10T00:00:00.000Z</x:v>
      </x:c>
      <x:c r="H30" s="44" t="str">
        <x:v>0001692819-26-000019</x:v>
      </x:c>
      <x:c r="I30" s="44" t="str">
        <x:v>us-gaap:CashCashEquivalentsRestrictedCashAndRestrictedCashEquivalents</x:v>
      </x:c>
      <x:c r="J30" s="44" t="str">
        <x:v>c-8</x:v>
      </x:c>
      <x:c r="K30" s="44" t="str">
        <x:v>[]</x:v>
      </x:c>
      <x:c r="L30" s="44" t="n">
        <x:v>6</x:v>
      </x:c>
      <x:c r="M30" s="44" t="str">
        <x:v>-6</x:v>
      </x:c>
      <x:c r="N30" s="44" t="str">
        <x:v>https://www.sec.gov/Archives/edgar/data/1692819/000169281926000019/vistra-20260630.htm</x:v>
      </x:c>
      <x:c r="O30" s="44" t="str">
        <x:v>10-Q balance sheet p. 2; cash flows p. 5; Note 12</x:v>
      </x:c>
      <x:c r="P30" s="70"/>
    </x:row>
    <x:row r="31" ht="52" customHeight="1">
      <x:c r="A31" s="69" t="str">
        <x:v>cash</x:v>
      </x:c>
      <x:c r="B31" s="49" t="n">
        <x:v>435000000</x:v>
      </x:c>
      <x:c r="C31" s="44" t="str">
        <x:v>Cash and equivalents excluding restricted cash</x:v>
      </x:c>
      <x:c r="D31" s="50"/>
      <x:c r="E31" s="50" t="d">
        <x:v>2026-06-30T00:00:00.000Z</x:v>
      </x:c>
      <x:c r="F31" s="44" t="str">
        <x:v>10-Q</x:v>
      </x:c>
      <x:c r="G31" s="50" t="d">
        <x:v>2026-08-10T00:00:00.000Z</x:v>
      </x:c>
      <x:c r="H31" s="44" t="str">
        <x:v>0001692819-26-000019</x:v>
      </x:c>
      <x:c r="I31" s="44" t="str">
        <x:v>us-gaap:CashAndCashEquivalentsAtCarryingValue</x:v>
      </x:c>
      <x:c r="J31" s="44" t="str">
        <x:v>c-8</x:v>
      </x:c>
      <x:c r="K31" s="44" t="str">
        <x:v>[]</x:v>
      </x:c>
      <x:c r="L31" s="44" t="n">
        <x:v>6</x:v>
      </x:c>
      <x:c r="M31" s="44" t="str">
        <x:v>-6</x:v>
      </x:c>
      <x:c r="N31" s="44" t="str">
        <x:v>https://www.sec.gov/Archives/edgar/data/1692819/000169281926000019/vistra-20260630.htm</x:v>
      </x:c>
      <x:c r="O31" s="44" t="str">
        <x:v>10-Q balance sheet p. 2; cash flows p. 5; Note 12</x:v>
      </x:c>
      <x:c r="P31" s="70"/>
    </x:row>
    <x:row r="32" ht="52" customHeight="1">
      <x:c r="A32" s="69" t="str">
        <x:v>restricted_current</x:v>
      </x:c>
      <x:c r="B32" s="49" t="n">
        <x:v>41000000</x:v>
      </x:c>
      <x:c r="C32" s="44" t="str">
        <x:v>Current restricted cash</x:v>
      </x:c>
      <x:c r="D32" s="50"/>
      <x:c r="E32" s="50" t="d">
        <x:v>2026-06-30T00:00:00.000Z</x:v>
      </x:c>
      <x:c r="F32" s="44" t="str">
        <x:v>10-Q</x:v>
      </x:c>
      <x:c r="G32" s="50" t="d">
        <x:v>2026-08-10T00:00:00.000Z</x:v>
      </x:c>
      <x:c r="H32" s="44" t="str">
        <x:v>0001692819-26-000019</x:v>
      </x:c>
      <x:c r="I32" s="44" t="str">
        <x:v>us-gaap:RestrictedCashCurrent</x:v>
      </x:c>
      <x:c r="J32" s="44" t="str">
        <x:v>c-8</x:v>
      </x:c>
      <x:c r="K32" s="44" t="str">
        <x:v>[]</x:v>
      </x:c>
      <x:c r="L32" s="44" t="n">
        <x:v>6</x:v>
      </x:c>
      <x:c r="M32" s="44" t="str">
        <x:v>-6</x:v>
      </x:c>
      <x:c r="N32" s="44" t="str">
        <x:v>https://www.sec.gov/Archives/edgar/data/1692819/000169281926000019/vistra-20260630.htm</x:v>
      </x:c>
      <x:c r="O32" s="44" t="str">
        <x:v>10-Q balance sheet p. 2; cash flows p. 5; Note 12</x:v>
      </x:c>
      <x:c r="P32" s="70"/>
    </x:row>
    <x:row r="33" ht="52" customHeight="1">
      <x:c r="A33" s="69" t="str">
        <x:v>restricted_noncurrent</x:v>
      </x:c>
      <x:c r="B33" s="49" t="n">
        <x:v>5000000</x:v>
      </x:c>
      <x:c r="C33" s="44" t="str">
        <x:v>Noncurrent restricted cash</x:v>
      </x:c>
      <x:c r="D33" s="50"/>
      <x:c r="E33" s="50" t="d">
        <x:v>2026-06-30T00:00:00.000Z</x:v>
      </x:c>
      <x:c r="F33" s="44" t="str">
        <x:v>10-Q</x:v>
      </x:c>
      <x:c r="G33" s="50" t="d">
        <x:v>2026-08-10T00:00:00.000Z</x:v>
      </x:c>
      <x:c r="H33" s="44" t="str">
        <x:v>0001692819-26-000019</x:v>
      </x:c>
      <x:c r="I33" s="44" t="str">
        <x:v>us-gaap:RestrictedCashNoncurrent</x:v>
      </x:c>
      <x:c r="J33" s="44" t="str">
        <x:v>c-8</x:v>
      </x:c>
      <x:c r="K33" s="44" t="str">
        <x:v>[]</x:v>
      </x:c>
      <x:c r="L33" s="44" t="n">
        <x:v>6</x:v>
      </x:c>
      <x:c r="M33" s="44" t="str">
        <x:v>-6</x:v>
      </x:c>
      <x:c r="N33" s="44" t="str">
        <x:v>https://www.sec.gov/Archives/edgar/data/1692819/000169281926000019/vistra-20260630.htm</x:v>
      </x:c>
      <x:c r="O33" s="44" t="str">
        <x:v>10-Q balance sheet p. 2; cash flows p. 5; Note 12</x:v>
      </x:c>
      <x:c r="P33" s="70"/>
    </x:row>
    <x:row r="34" ht="52" customHeight="1">
      <x:c r="A34" s="69" t="str">
        <x:v>nuveen_carrying</x:v>
      </x:c>
      <x:c r="B34" s="49" t="n">
        <x:v>613000000</x:v>
      </x:c>
      <x:c r="C34" s="44" t="str">
        <x:v>Nuveen obligation carrying amount</x:v>
      </x:c>
      <x:c r="D34" s="50"/>
      <x:c r="E34" s="50" t="d">
        <x:v>2026-06-30T00:00:00.000Z</x:v>
      </x:c>
      <x:c r="F34" s="44" t="str">
        <x:v>10-Q</x:v>
      </x:c>
      <x:c r="G34" s="50" t="d">
        <x:v>2026-08-10T00:00:00.000Z</x:v>
      </x:c>
      <x:c r="H34" s="44" t="str">
        <x:v>0001692819-26-000019</x:v>
      </x:c>
      <x:c r="I34" s="44" t="str">
        <x:v>vistra:ForwardRepurchaseObligationToBePaidCurrent</x:v>
      </x:c>
      <x:c r="J34" s="44" t="str">
        <x:v>c-8</x:v>
      </x:c>
      <x:c r="K34" s="44" t="str">
        <x:v>[]</x:v>
      </x:c>
      <x:c r="L34" s="44" t="n">
        <x:v>6</x:v>
      </x:c>
      <x:c r="M34" s="44" t="str">
        <x:v>-6</x:v>
      </x:c>
      <x:c r="N34" s="44" t="str">
        <x:v>https://www.sec.gov/Archives/edgar/data/1692819/000169281926000019/vistra-20260630.htm</x:v>
      </x:c>
      <x:c r="O34" s="44" t="str">
        <x:v>10-Q balance sheet p. 2; cash flows p. 5; Note 12</x:v>
      </x:c>
      <x:c r="P34" s="70"/>
    </x:row>
    <x:row r="35" ht="52" customHeight="1">
      <x:c r="A35" s="69" t="str">
        <x:v>lt_carrying</x:v>
      </x:c>
      <x:c r="B35" s="49" t="n">
        <x:v>19595000000</x:v>
      </x:c>
      <x:c r="C35" s="44" t="str">
        <x:v>Long-term debt including current portion</x:v>
      </x:c>
      <x:c r="D35" s="50"/>
      <x:c r="E35" s="50" t="d">
        <x:v>2026-06-30T00:00:00.000Z</x:v>
      </x:c>
      <x:c r="F35" s="44" t="str">
        <x:v>10-Q</x:v>
      </x:c>
      <x:c r="G35" s="50" t="d">
        <x:v>2026-08-10T00:00:00.000Z</x:v>
      </x:c>
      <x:c r="H35" s="44" t="str">
        <x:v>0001692819-26-000019</x:v>
      </x:c>
      <x:c r="I35" s="44" t="str">
        <x:v>us-gaap:LongTermDebtAndCapitalLeaseObligationsIncludingCurrentMaturities</x:v>
      </x:c>
      <x:c r="J35" s="44" t="str">
        <x:v>c-8</x:v>
      </x:c>
      <x:c r="K35" s="44" t="str">
        <x:v>[]</x:v>
      </x:c>
      <x:c r="L35" s="44" t="n">
        <x:v>6</x:v>
      </x:c>
      <x:c r="M35" s="44" t="str">
        <x:v>-6</x:v>
      </x:c>
      <x:c r="N35" s="44" t="str">
        <x:v>https://www.sec.gov/Archives/edgar/data/1692819/000169281926000019/vistra-20260630.htm</x:v>
      </x:c>
      <x:c r="O35" s="44" t="str">
        <x:v>10-Q balance sheet p. 2; cash flows p. 5; Note 12</x:v>
      </x:c>
      <x:c r="P35" s="70"/>
    </x:row>
    <x:row r="36" ht="52" customHeight="1">
      <x:c r="A36" s="69" t="str">
        <x:v>debt_costs</x:v>
      </x:c>
      <x:c r="B36" s="49" t="n">
        <x:v>169000000</x:v>
      </x:c>
      <x:c r="C36" s="44" t="str">
        <x:v>Unamortized debt premiums, discounts and costs</x:v>
      </x:c>
      <x:c r="D36" s="50"/>
      <x:c r="E36" s="50" t="d">
        <x:v>2026-06-30T00:00:00.000Z</x:v>
      </x:c>
      <x:c r="F36" s="44" t="str">
        <x:v>10-Q</x:v>
      </x:c>
      <x:c r="G36" s="50" t="d">
        <x:v>2026-08-10T00:00:00.000Z</x:v>
      </x:c>
      <x:c r="H36" s="44" t="str">
        <x:v>0001692819-26-000019</x:v>
      </x:c>
      <x:c r="I36" s="44" t="str">
        <x:v>us-gaap:DebtInstrumentUnamortizedDiscountPremiumAndDebtIssuanceCostsNet</x:v>
      </x:c>
      <x:c r="J36" s="44" t="str">
        <x:v>c-8</x:v>
      </x:c>
      <x:c r="K36" s="44" t="str">
        <x:v>[]</x:v>
      </x:c>
      <x:c r="L36" s="44" t="n">
        <x:v>6</x:v>
      </x:c>
      <x:c r="M36" s="44" t="str">
        <x:v>-6</x:v>
      </x:c>
      <x:c r="N36" s="44" t="str">
        <x:v>https://www.sec.gov/Archives/edgar/data/1692819/000169281926000019/vistra-20260630.htm</x:v>
      </x:c>
      <x:c r="O36" s="44" t="str">
        <x:v>10-Q balance sheet p. 2; cash flows p. 5; Note 12</x:v>
      </x:c>
      <x:c r="P36" s="70"/>
    </x:row>
    <x:row r="37" ht="52" customHeight="1">
      <x:c r="A37" s="69" t="str">
        <x:v>receivables</x:v>
      </x:c>
      <x:c r="B37" s="49" t="n">
        <x:v>300000000</x:v>
      </x:c>
      <x:c r="C37" s="44" t="str">
        <x:v>Receivables financing outstanding</x:v>
      </x:c>
      <x:c r="D37" s="50"/>
      <x:c r="E37" s="50" t="d">
        <x:v>2026-06-30T00:00:00.000Z</x:v>
      </x:c>
      <x:c r="F37" s="44" t="str">
        <x:v>10-Q</x:v>
      </x:c>
      <x:c r="G37" s="50" t="d">
        <x:v>2026-08-10T00:00:00.000Z</x:v>
      </x:c>
      <x:c r="H37" s="44" t="str">
        <x:v>0001692819-26-000019</x:v>
      </x:c>
      <x:c r="I37" s="44" t="str">
        <x:v>vistra:AccountsReceivableSecuritizationProgramAmountsBorrowed</x:v>
      </x:c>
      <x:c r="J37" s="44" t="str">
        <x:v>c-8</x:v>
      </x:c>
      <x:c r="K37" s="44" t="str">
        <x:v>[]</x:v>
      </x:c>
      <x:c r="L37" s="44" t="n">
        <x:v>6</x:v>
      </x:c>
      <x:c r="M37" s="44" t="str">
        <x:v>-6</x:v>
      </x:c>
      <x:c r="N37" s="44" t="str">
        <x:v>https://www.sec.gov/Archives/edgar/data/1692819/000169281926000019/vistra-20260630.htm</x:v>
      </x:c>
      <x:c r="O37" s="44" t="str">
        <x:v>10-Q balance sheet p. 2; cash flows p. 5; Note 12</x:v>
      </x:c>
      <x:c r="P37" s="70"/>
    </x:row>
    <x:row r="38" ht="52" customHeight="1">
      <x:c r="A38" s="69" t="str">
        <x:v>shortterm</x:v>
      </x:c>
      <x:c r="B38" s="49" t="n">
        <x:v>0</x:v>
      </x:c>
      <x:c r="C38" s="44" t="str">
        <x:v>Short-term borrowings, reported zero</x:v>
      </x:c>
      <x:c r="D38" s="50"/>
      <x:c r="E38" s="50" t="d">
        <x:v>2026-06-30T00:00:00.000Z</x:v>
      </x:c>
      <x:c r="F38" s="44" t="str">
        <x:v>10-Q</x:v>
      </x:c>
      <x:c r="G38" s="50" t="d">
        <x:v>2026-08-10T00:00:00.000Z</x:v>
      </x:c>
      <x:c r="H38" s="44" t="str">
        <x:v>0001692819-26-000019</x:v>
      </x:c>
      <x:c r="I38" s="44" t="str">
        <x:v>us-gaap:ShortTermBorrowings</x:v>
      </x:c>
      <x:c r="J38" s="44" t="str">
        <x:v>c-8</x:v>
      </x:c>
      <x:c r="K38" s="44" t="str">
        <x:v>[]</x:v>
      </x:c>
      <x:c r="L38" s="44" t="n">
        <x:v>6</x:v>
      </x:c>
      <x:c r="M38" s="44" t="str">
        <x:v>-6</x:v>
      </x:c>
      <x:c r="N38" s="44" t="str">
        <x:v>https://www.sec.gov/Archives/edgar/data/1692819/000169281926000019/vistra-20260630.htm</x:v>
      </x:c>
      <x:c r="O38" s="44" t="str">
        <x:v>10-Q balance sheet p. 2; cash flows p. 5; Note 12</x:v>
      </x:c>
      <x:c r="P38" s="70"/>
    </x:row>
    <x:row r="39" ht="52" customHeight="1">
      <x:c r="A39" s="69" t="str">
        <x:v>margin_cash</x:v>
      </x:c>
      <x:c r="B39" s="49" t="n">
        <x:v>1436000000</x:v>
      </x:c>
      <x:c r="C39" s="44" t="str">
        <x:v>Posted margin deposits</x:v>
      </x:c>
      <x:c r="D39" s="50"/>
      <x:c r="E39" s="50" t="d">
        <x:v>2026-06-30T00:00:00.000Z</x:v>
      </x:c>
      <x:c r="F39" s="44" t="str">
        <x:v>10-Q</x:v>
      </x:c>
      <x:c r="G39" s="50" t="d">
        <x:v>2026-08-10T00:00:00.000Z</x:v>
      </x:c>
      <x:c r="H39" s="44" t="str">
        <x:v>0001692819-26-000019</x:v>
      </x:c>
      <x:c r="I39" s="44" t="str">
        <x:v>us-gaap:MarginDepositAssets</x:v>
      </x:c>
      <x:c r="J39" s="44" t="str">
        <x:v>c-8</x:v>
      </x:c>
      <x:c r="K39" s="44" t="str">
        <x:v>[]</x:v>
      </x:c>
      <x:c r="L39" s="44" t="n">
        <x:v>6</x:v>
      </x:c>
      <x:c r="M39" s="44" t="str">
        <x:v>-6</x:v>
      </x:c>
      <x:c r="N39" s="44" t="str">
        <x:v>https://www.sec.gov/Archives/edgar/data/1692819/000169281926000019/vistra-20260630.htm</x:v>
      </x:c>
      <x:c r="O39" s="44" t="str">
        <x:v>10-Q balance sheet p. 2; cash flows p. 5; Note 12</x:v>
      </x:c>
      <x:c r="P39" s="70"/>
    </x:row>
    <x:row r="40" ht="52" customHeight="1">
      <x:c r="A40" s="69" t="str">
        <x:v>affiliate_margin</x:v>
      </x:c>
      <x:c r="B40" s="49" t="n">
        <x:v>438000000</x:v>
      </x:c>
      <x:c r="C40" s="44" t="str">
        <x:v>Affiliate-financed eligible assets posted</x:v>
      </x:c>
      <x:c r="D40" s="50"/>
      <x:c r="E40" s="50" t="d">
        <x:v>2026-06-30T00:00:00.000Z</x:v>
      </x:c>
      <x:c r="F40" s="44" t="str">
        <x:v>10-Q</x:v>
      </x:c>
      <x:c r="G40" s="50" t="d">
        <x:v>2026-08-10T00:00:00.000Z</x:v>
      </x:c>
      <x:c r="H40" s="44" t="str">
        <x:v>0001692819-26-000019</x:v>
      </x:c>
      <x:c r="I40" s="44" t="str">
        <x:v>vistra:MarginDepositsPostedUnderAffiliateFinancingAgreementAsset</x:v>
      </x:c>
      <x:c r="J40" s="44" t="str">
        <x:v>c-8</x:v>
      </x:c>
      <x:c r="K40" s="44" t="str">
        <x:v>[]</x:v>
      </x:c>
      <x:c r="L40" s="44" t="n">
        <x:v>6</x:v>
      </x:c>
      <x:c r="M40" s="44" t="str">
        <x:v>-6</x:v>
      </x:c>
      <x:c r="N40" s="44" t="str">
        <x:v>https://www.sec.gov/Archives/edgar/data/1692819/000169281926000019/vistra-20260630.htm</x:v>
      </x:c>
      <x:c r="O40" s="44" t="str">
        <x:v>10-Q balance sheet p. 2; cash flows p. 5; Note 12</x:v>
      </x:c>
      <x:c r="P40" s="70"/>
    </x:row>
    <x:row r="41" ht="52" customHeight="1">
      <x:c r="A41" s="69" t="str">
        <x:v>project_debt</x:v>
      </x:c>
      <x:c r="B41" s="49" t="n">
        <x:v>1633000000</x:v>
      </x:c>
      <x:c r="C41" s="44" t="str">
        <x:v>Project debt principal</x:v>
      </x:c>
      <x:c r="D41" s="50"/>
      <x:c r="E41" s="50" t="d">
        <x:v>2026-06-30T00:00:00.000Z</x:v>
      </x:c>
      <x:c r="F41" s="44" t="str">
        <x:v>10-Q</x:v>
      </x:c>
      <x:c r="G41" s="50" t="d">
        <x:v>2026-08-10T00:00:00.000Z</x:v>
      </x:c>
      <x:c r="H41" s="44" t="str">
        <x:v>0001692819-26-000019</x:v>
      </x:c>
      <x:c r="I41" s="44" t="str">
        <x:v>us-gaap:DebtInstrumentCarryingAmount</x:v>
      </x:c>
      <x:c r="J41" s="44" t="str">
        <x:v>c-590</x:v>
      </x:c>
      <x:c r="K41" s="44" t="str">
        <x:v>[["us-gaap:LongtermDebtTypeAxis","vistra:ProjectLevelDebtMember"]]</x:v>
      </x:c>
      <x:c r="L41" s="44" t="n">
        <x:v>6</x:v>
      </x:c>
      <x:c r="M41" s="44" t="str">
        <x:v>-6</x:v>
      </x:c>
      <x:c r="N41" s="44" t="str">
        <x:v>https://www.sec.gov/Archives/edgar/data/1692819/000169281926000019/vistra-20260630.htm</x:v>
      </x:c>
      <x:c r="O41" s="44" t="str">
        <x:v>10-Q Note 12, pp. 20–28</x:v>
      </x:c>
      <x:c r="P41" s="70"/>
    </x:row>
    <x:row r="42" ht="52" customHeight="1">
      <x:c r="A42" s="69" t="str">
        <x:v>operations_debt</x:v>
      </x:c>
      <x:c r="B42" s="49" t="n">
        <x:v>18131000000</x:v>
      </x:c>
      <x:c r="C42" s="44" t="str">
        <x:v>Vistra Operations debt principal</x:v>
      </x:c>
      <x:c r="D42" s="50"/>
      <x:c r="E42" s="50" t="d">
        <x:v>2026-06-30T00:00:00.000Z</x:v>
      </x:c>
      <x:c r="F42" s="44" t="str">
        <x:v>10-Q</x:v>
      </x:c>
      <x:c r="G42" s="50" t="d">
        <x:v>2026-08-10T00:00:00.000Z</x:v>
      </x:c>
      <x:c r="H42" s="44" t="str">
        <x:v>0001692819-26-000019</x:v>
      </x:c>
      <x:c r="I42" s="44" t="str">
        <x:v>us-gaap:DebtInstrumentCarryingAmount</x:v>
      </x:c>
      <x:c r="J42" s="44" t="str">
        <x:v>c-592</x:v>
      </x:c>
      <x:c r="K42" s="44" t="str">
        <x:v>[["us-gaap:LongtermDebtTypeAxis","vistra:VistraOperationsDebtMember"]]</x:v>
      </x:c>
      <x:c r="L42" s="44" t="n">
        <x:v>6</x:v>
      </x:c>
      <x:c r="M42" s="44" t="str">
        <x:v>-6</x:v>
      </x:c>
      <x:c r="N42" s="44" t="str">
        <x:v>https://www.sec.gov/Archives/edgar/data/1692819/000169281926000019/vistra-20260630.htm</x:v>
      </x:c>
      <x:c r="O42" s="44" t="str">
        <x:v>10-Q Note 12, pp. 20–28</x:v>
      </x:c>
      <x:c r="P42" s="70"/>
    </x:row>
    <x:row r="43" ht="52" customHeight="1">
      <x:c r="A43" s="69" t="str">
        <x:v>bridge</x:v>
      </x:c>
      <x:c r="B43" s="49" t="n">
        <x:v>261000000</x:v>
      </x:c>
      <x:c r="C43" s="44" t="str">
        <x:v>Pulaski bridge loan</x:v>
      </x:c>
      <x:c r="D43" s="50"/>
      <x:c r="E43" s="50" t="d">
        <x:v>2026-06-30T00:00:00.000Z</x:v>
      </x:c>
      <x:c r="F43" s="44" t="str">
        <x:v>10-Q</x:v>
      </x:c>
      <x:c r="G43" s="50" t="d">
        <x:v>2026-08-10T00:00:00.000Z</x:v>
      </x:c>
      <x:c r="H43" s="44" t="str">
        <x:v>0001692819-26-000019</x:v>
      </x:c>
      <x:c r="I43" s="44" t="str">
        <x:v>vistra:LineOfCreditFacilityBorrowingsOutstanding</x:v>
      </x:c>
      <x:c r="J43" s="44" t="str">
        <x:v>c-598</x:v>
      </x:c>
      <x:c r="K43" s="44" t="str">
        <x:v>[["us-gaap:LongtermDebtTypeAxis","us-gaap:BridgeLoanMember"],["us-gaap:DebtInstrumentAxis","vistra:BCOPCreditFacilitiesMember"]]</x:v>
      </x:c>
      <x:c r="L43" s="44" t="n">
        <x:v>6</x:v>
      </x:c>
      <x:c r="M43" s="44" t="str">
        <x:v>-6</x:v>
      </x:c>
      <x:c r="N43" s="44" t="str">
        <x:v>https://www.sec.gov/Archives/edgar/data/1692819/000169281926000019/vistra-20260630.htm</x:v>
      </x:c>
      <x:c r="O43" s="44" t="str">
        <x:v>10-Q Note 12, pp. 20–28</x:v>
      </x:c>
      <x:c r="P43" s="70"/>
    </x:row>
    <x:row r="44" ht="52" customHeight="1">
      <x:c r="A44" s="69" t="str">
        <x:v>construction_total</x:v>
      </x:c>
      <x:c r="B44" s="49" t="n">
        <x:v>503000000</x:v>
      </x:c>
      <x:c r="C44" s="44" t="str">
        <x:v>BCOP construction and term loans</x:v>
      </x:c>
      <x:c r="D44" s="50"/>
      <x:c r="E44" s="50" t="d">
        <x:v>2026-06-30T00:00:00.000Z</x:v>
      </x:c>
      <x:c r="F44" s="44" t="str">
        <x:v>10-Q</x:v>
      </x:c>
      <x:c r="G44" s="50" t="d">
        <x:v>2026-08-10T00:00:00.000Z</x:v>
      </x:c>
      <x:c r="H44" s="44" t="str">
        <x:v>0001692819-26-000019</x:v>
      </x:c>
      <x:c r="I44" s="44" t="str">
        <x:v>vistra:LineOfCreditFacilityBorrowingsOutstanding</x:v>
      </x:c>
      <x:c r="J44" s="44" t="str">
        <x:v>c-600</x:v>
      </x:c>
      <x:c r="K44" s="44" t="str">
        <x:v>[["us-gaap:LongtermDebtTypeAxis","vistra:ConstructionAndTermLoansMember"],["us-gaap:DebtInstrumentAxis","vistra:BCOPCreditFacilitiesMember"]]</x:v>
      </x:c>
      <x:c r="L44" s="44" t="n">
        <x:v>6</x:v>
      </x:c>
      <x:c r="M44" s="44" t="str">
        <x:v>-6</x:v>
      </x:c>
      <x:c r="N44" s="44" t="str">
        <x:v>https://www.sec.gov/Archives/edgar/data/1692819/000169281926000019/vistra-20260630.htm</x:v>
      </x:c>
      <x:c r="O44" s="44" t="str">
        <x:v>10-Q Note 12, pp. 20–28</x:v>
      </x:c>
      <x:c r="P44" s="70"/>
    </x:row>
    <x:row r="45" ht="52" customHeight="1">
      <x:c r="A45" s="69" t="str">
        <x:v>pulaski_construction</x:v>
      </x:c>
      <x:c r="B45" s="49" t="n">
        <x:v>297000000</x:v>
      </x:c>
      <x:c r="C45" s="44" t="str">
        <x:v>Pulaski construction loan</x:v>
      </x:c>
      <x:c r="D45" s="50"/>
      <x:c r="E45" s="50" t="d">
        <x:v>2026-06-30T00:00:00.000Z</x:v>
      </x:c>
      <x:c r="F45" s="44" t="str">
        <x:v>10-Q</x:v>
      </x:c>
      <x:c r="G45" s="50" t="d">
        <x:v>2026-08-10T00:00:00.000Z</x:v>
      </x:c>
      <x:c r="H45" s="44" t="str">
        <x:v>0001692819-26-000019</x:v>
      </x:c>
      <x:c r="I45" s="44" t="str">
        <x:v>us-gaap:DebtInstrumentFaceAmount</x:v>
      </x:c>
      <x:c r="J45" s="44" t="str">
        <x:v>c-685</x:v>
      </x:c>
      <x:c r="K45" s="44" t="str">
        <x:v>[["us-gaap:LongtermDebtTypeAxis","us-gaap:ConstructionLoansMember"],["us-gaap:DebtInstrumentAxis","vistra:PulaskiMember"]]</x:v>
      </x:c>
      <x:c r="L45" s="44" t="n">
        <x:v>6</x:v>
      </x:c>
      <x:c r="M45" s="44" t="str">
        <x:v>-6</x:v>
      </x:c>
      <x:c r="N45" s="44" t="str">
        <x:v>https://www.sec.gov/Archives/edgar/data/1692819/000169281926000019/vistra-20260630.htm</x:v>
      </x:c>
      <x:c r="O45" s="44" t="str">
        <x:v>10-Q Note 12, pp. 20–28</x:v>
      </x:c>
      <x:c r="P45" s="70"/>
    </x:row>
    <x:row r="46" ht="52" customHeight="1">
      <x:c r="A46" s="69" t="str">
        <x:v>bcop_term</x:v>
      </x:c>
      <x:c r="B46" s="49" t="n">
        <x:v>206000000</x:v>
      </x:c>
      <x:c r="C46" s="44" t="str">
        <x:v>BCOP combined term loans</x:v>
      </x:c>
      <x:c r="D46" s="50"/>
      <x:c r="E46" s="50" t="d">
        <x:v>2026-06-30T00:00:00.000Z</x:v>
      </x:c>
      <x:c r="F46" s="44" t="str">
        <x:v>10-Q</x:v>
      </x:c>
      <x:c r="G46" s="50" t="d">
        <x:v>2026-08-10T00:00:00.000Z</x:v>
      </x:c>
      <x:c r="H46" s="44" t="str">
        <x:v>0001692819-26-000019</x:v>
      </x:c>
      <x:c r="I46" s="44" t="str">
        <x:v>us-gaap:DebtInstrumentFaceAmount</x:v>
      </x:c>
      <x:c r="J46" s="44" t="str">
        <x:v>c-686</x:v>
      </x:c>
      <x:c r="K46" s="44" t="str">
        <x:v>[["us-gaap:LongtermDebtTypeAxis","us-gaap:ConstructionLoansMember"],["us-gaap:DebtInstrumentAxis","vistra:CoffeenTermLoanMember"]]</x:v>
      </x:c>
      <x:c r="L46" s="44" t="n">
        <x:v>6</x:v>
      </x:c>
      <x:c r="M46" s="44" t="str">
        <x:v>-6</x:v>
      </x:c>
      <x:c r="N46" s="44" t="str">
        <x:v>https://www.sec.gov/Archives/edgar/data/1692819/000169281926000019/vistra-20260630.htm</x:v>
      </x:c>
      <x:c r="O46" s="44" t="str">
        <x:v>10-Q Note 12, pp. 20–28</x:v>
      </x:c>
      <x:c r="P46" s="70"/>
    </x:row>
    <x:row r="47" ht="52" customHeight="1">
      <x:c r="A47" s="69" t="str">
        <x:v>zero_debt</x:v>
      </x:c>
      <x:c r="B47" s="49" t="n">
        <x:v>697000000</x:v>
      </x:c>
      <x:c r="C47" s="44" t="str">
        <x:v>Vistra Zero term loan</x:v>
      </x:c>
      <x:c r="D47" s="50"/>
      <x:c r="E47" s="50" t="d">
        <x:v>2026-06-30T00:00:00.000Z</x:v>
      </x:c>
      <x:c r="F47" s="44" t="str">
        <x:v>10-Q</x:v>
      </x:c>
      <x:c r="G47" s="50" t="d">
        <x:v>2026-08-10T00:00:00.000Z</x:v>
      </x:c>
      <x:c r="H47" s="44" t="str">
        <x:v>0001692819-26-000019</x:v>
      </x:c>
      <x:c r="I47" s="44" t="str">
        <x:v>vistra:LineOfCreditFacilityBorrowingsOutstanding</x:v>
      </x:c>
      <x:c r="J47" s="44" t="str">
        <x:v>c-664</x:v>
      </x:c>
      <x:c r="K47" s="44" t="str">
        <x:v>[["us-gaap:LongtermDebtTypeAxis","us-gaap:RevolvingCreditFacilityMember"],["us-gaap:DebtInstrumentAxis","vistra:VistraZeroTermLoanBFacilityMember"]]</x:v>
      </x:c>
      <x:c r="L47" s="44" t="n">
        <x:v>6</x:v>
      </x:c>
      <x:c r="M47" s="44" t="str">
        <x:v>-6</x:v>
      </x:c>
      <x:c r="N47" s="44" t="str">
        <x:v>https://www.sec.gov/Archives/edgar/data/1692819/000169281926000019/vistra-20260630.htm</x:v>
      </x:c>
      <x:c r="O47" s="44" t="str">
        <x:v>10-Q Note 12, pp. 20–28</x:v>
      </x:c>
      <x:c r="P47" s="70"/>
    </x:row>
    <x:row r="48" ht="52" customHeight="1">
      <x:c r="A48" s="69" t="str">
        <x:v>txef_debt</x:v>
      </x:c>
      <x:c r="B48" s="49" t="n">
        <x:v>172000000</x:v>
      </x:c>
      <x:c r="C48" s="44" t="str">
        <x:v>Texas Energy Fund drawn loan</x:v>
      </x:c>
      <x:c r="D48" s="50"/>
      <x:c r="E48" s="50" t="d">
        <x:v>2026-06-30T00:00:00.000Z</x:v>
      </x:c>
      <x:c r="F48" s="44" t="str">
        <x:v>10-Q</x:v>
      </x:c>
      <x:c r="G48" s="50" t="d">
        <x:v>2026-08-10T00:00:00.000Z</x:v>
      </x:c>
      <x:c r="H48" s="44" t="str">
        <x:v>0001692819-26-000019</x:v>
      </x:c>
      <x:c r="I48" s="44" t="str">
        <x:v>vistra:LineOfCreditFacilityBorrowingsOutstanding</x:v>
      </x:c>
      <x:c r="J48" s="44" t="str">
        <x:v>c-665</x:v>
      </x:c>
      <x:c r="K48" s="44" t="str">
        <x:v>[["us-gaap:LongtermDebtTypeAxis","us-gaap:RevolvingCreditFacilityMember"],["us-gaap:DebtInstrumentAxis","vistra:TexasEnergyFundLoanMember"]]</x:v>
      </x:c>
      <x:c r="L48" s="44" t="n">
        <x:v>6</x:v>
      </x:c>
      <x:c r="M48" s="44" t="str">
        <x:v>-6</x:v>
      </x:c>
      <x:c r="N48" s="44" t="str">
        <x:v>https://www.sec.gov/Archives/edgar/data/1692819/000169281926000019/vistra-20260630.htm</x:v>
      </x:c>
      <x:c r="O48" s="44" t="str">
        <x:v>10-Q Note 12, pp. 20–28</x:v>
      </x:c>
      <x:c r="P48" s="70"/>
    </x:row>
    <x:row r="49" ht="52" customHeight="1">
      <x:c r="A49" s="69" t="str">
        <x:v>nuveen_payment</x:v>
      </x:c>
      <x:c r="B49" s="49" t="n">
        <x:v>631000000</x:v>
      </x:c>
      <x:c r="C49" s="44" t="str">
        <x:v>Nuveen final principal and interest payment</x:v>
      </x:c>
      <x:c r="D49" s="50"/>
      <x:c r="E49" s="50" t="d">
        <x:v>2026-06-30T00:00:00.000Z</x:v>
      </x:c>
      <x:c r="F49" s="44" t="str">
        <x:v>10-Q</x:v>
      </x:c>
      <x:c r="G49" s="50" t="d">
        <x:v>2026-08-10T00:00:00.000Z</x:v>
      </x:c>
      <x:c r="H49" s="44" t="str">
        <x:v>0001692819-26-000019</x:v>
      </x:c>
      <x:c r="I49" s="44" t="str">
        <x:v>vistra:RedeemableNoncontrollingInterestToBePaidYearOne</x:v>
      </x:c>
      <x:c r="J49" s="44" t="str">
        <x:v>c-729</x:v>
      </x:c>
      <x:c r="K49" s="44" t="str">
        <x:v>[["srt:OwnershipAxis","vistra:VistraVisionMember"]]</x:v>
      </x:c>
      <x:c r="L49" s="44" t="n">
        <x:v>6</x:v>
      </x:c>
      <x:c r="M49" s="44" t="str">
        <x:v>-6</x:v>
      </x:c>
      <x:c r="N49" s="44" t="str">
        <x:v>https://www.sec.gov/Archives/edgar/data/1692819/000169281926000019/vistra-20260630.htm</x:v>
      </x:c>
      <x:c r="O49" s="44" t="str">
        <x:v>10-Q Note 12, pp. 20–28</x:v>
      </x:c>
      <x:c r="P49" s="70"/>
    </x:row>
    <x:row r="50" ht="52" customHeight="1">
      <x:c r="A50" s="69" t="str">
        <x:v>notes_2026</x:v>
      </x:c>
      <x:c r="B50" s="49" t="n">
        <x:v>500000000</x:v>
      </x:c>
      <x:c r="C50" s="44" t="str">
        <x:v>5.050% senior notes</x:v>
      </x:c>
      <x:c r="D50" s="50"/>
      <x:c r="E50" s="50" t="d">
        <x:v>2026-06-30T00:00:00.000Z</x:v>
      </x:c>
      <x:c r="F50" s="44" t="str">
        <x:v>10-Q</x:v>
      </x:c>
      <x:c r="G50" s="50" t="d">
        <x:v>2026-08-10T00:00:00.000Z</x:v>
      </x:c>
      <x:c r="H50" s="44" t="str">
        <x:v>0001692819-26-000019</x:v>
      </x:c>
      <x:c r="I50" s="44" t="str">
        <x:v>us-gaap:LongTermDebtAndCapitalLeaseObligationsIncludingCurrentMaturities</x:v>
      </x:c>
      <x:c r="J50" s="44" t="str">
        <x:v>c-606</x:v>
      </x:c>
      <x:c r="K50" s="44" t="str">
        <x:v>[["us-gaap:LongtermDebtTypeAxis","vistra:VistraOperationsSeniorNotesMember"],["us-gaap:DebtInstrumentAxis","vistra:A5.050SeniorNotesDue2026Member"]]</x:v>
      </x:c>
      <x:c r="L50" s="44" t="n">
        <x:v>6</x:v>
      </x:c>
      <x:c r="M50" s="44" t="str">
        <x:v>-6</x:v>
      </x:c>
      <x:c r="N50" s="44" t="str">
        <x:v>https://www.sec.gov/Archives/edgar/data/1692819/000169281926000019/vistra-20260630.htm</x:v>
      </x:c>
      <x:c r="O50" s="44" t="str">
        <x:v>10-Q Note 12, pp. 20–28</x:v>
      </x:c>
      <x:c r="P50" s="70"/>
    </x:row>
    <x:row r="51" ht="52" customHeight="1">
      <x:c r="A51" s="69" t="str">
        <x:v>notes_jan2027</x:v>
      </x:c>
      <x:c r="B51" s="49" t="n">
        <x:v>800000000</x:v>
      </x:c>
      <x:c r="C51" s="44" t="str">
        <x:v>3.700% senior notes</x:v>
      </x:c>
      <x:c r="D51" s="50"/>
      <x:c r="E51" s="50" t="d">
        <x:v>2026-06-30T00:00:00.000Z</x:v>
      </x:c>
      <x:c r="F51" s="44" t="str">
        <x:v>10-Q</x:v>
      </x:c>
      <x:c r="G51" s="50" t="d">
        <x:v>2026-08-10T00:00:00.000Z</x:v>
      </x:c>
      <x:c r="H51" s="44" t="str">
        <x:v>0001692819-26-000019</x:v>
      </x:c>
      <x:c r="I51" s="44" t="str">
        <x:v>us-gaap:LongTermDebtAndCapitalLeaseObligationsIncludingCurrentMaturities</x:v>
      </x:c>
      <x:c r="J51" s="44" t="str">
        <x:v>c-608</x:v>
      </x:c>
      <x:c r="K51" s="44" t="str">
        <x:v>[["us-gaap:LongtermDebtTypeAxis","vistra:VistraOperationsSeniorNotesMember"],["us-gaap:DebtInstrumentAxis","vistra:A3.700SeniorNotesDue2027Member"]]</x:v>
      </x:c>
      <x:c r="L51" s="44" t="n">
        <x:v>6</x:v>
      </x:c>
      <x:c r="M51" s="44" t="str">
        <x:v>-6</x:v>
      </x:c>
      <x:c r="N51" s="44" t="str">
        <x:v>https://www.sec.gov/Archives/edgar/data/1692819/000169281926000019/vistra-20260630.htm</x:v>
      </x:c>
      <x:c r="O51" s="44" t="str">
        <x:v>10-Q Note 12, pp. 20–28</x:v>
      </x:c>
      <x:c r="P51" s="70"/>
    </x:row>
    <x:row r="52" ht="52" customHeight="1">
      <x:c r="A52" s="69" t="str">
        <x:v>notes_jul2027</x:v>
      </x:c>
      <x:c r="B52" s="49" t="n">
        <x:v>1300000000</x:v>
      </x:c>
      <x:c r="C52" s="44" t="str">
        <x:v>5.000% senior notes</x:v>
      </x:c>
      <x:c r="D52" s="50"/>
      <x:c r="E52" s="50" t="d">
        <x:v>2026-06-30T00:00:00.000Z</x:v>
      </x:c>
      <x:c r="F52" s="44" t="str">
        <x:v>10-Q</x:v>
      </x:c>
      <x:c r="G52" s="50" t="d">
        <x:v>2026-08-10T00:00:00.000Z</x:v>
      </x:c>
      <x:c r="H52" s="44" t="str">
        <x:v>0001692819-26-000019</x:v>
      </x:c>
      <x:c r="I52" s="44" t="str">
        <x:v>us-gaap:LongTermDebtAndCapitalLeaseObligationsIncludingCurrentMaturities</x:v>
      </x:c>
      <x:c r="J52" s="44" t="str">
        <x:v>c-612</x:v>
      </x:c>
      <x:c r="K52" s="44" t="str">
        <x:v>[["us-gaap:LongtermDebtTypeAxis","vistra:VistraOperationsSeniorNotesMember"],["us-gaap:DebtInstrumentAxis","vistra:A5.000SeniorNotesDue2027Member"]]</x:v>
      </x:c>
      <x:c r="L52" s="44" t="n">
        <x:v>6</x:v>
      </x:c>
      <x:c r="M52" s="44" t="str">
        <x:v>-6</x:v>
      </x:c>
      <x:c r="N52" s="44" t="str">
        <x:v>https://www.sec.gov/Archives/edgar/data/1692819/000169281926000019/vistra-20260630.htm</x:v>
      </x:c>
      <x:c r="O52" s="44" t="str">
        <x:v>10-Q Note 12, pp. 20–28</x:v>
      </x:c>
      <x:c r="P52" s="70"/>
    </x:row>
    <x:row r="53" ht="52" customHeight="1">
      <x:c r="A53" s="69" t="str">
        <x:v>loc_other</x:v>
      </x:c>
      <x:c r="B53" s="49" t="n">
        <x:v>1759000000</x:v>
      </x:c>
      <x:c r="C53" s="44" t="str">
        <x:v>Other LOC facilities outstanding</x:v>
      </x:c>
      <x:c r="D53" s="50"/>
      <x:c r="E53" s="50" t="d">
        <x:v>2026-06-30T00:00:00.000Z</x:v>
      </x:c>
      <x:c r="F53" s="44" t="str">
        <x:v>10-Q</x:v>
      </x:c>
      <x:c r="G53" s="50" t="d">
        <x:v>2026-08-10T00:00:00.000Z</x:v>
      </x:c>
      <x:c r="H53" s="44" t="str">
        <x:v>0001692819-26-000019</x:v>
      </x:c>
      <x:c r="I53" s="44" t="str">
        <x:v>us-gaap:LettersOfCreditOutstandingAmount</x:v>
      </x:c>
      <x:c r="J53" s="44" t="str">
        <x:v>c-701</x:v>
      </x:c>
      <x:c r="K53" s="44" t="str">
        <x:v>[["us-gaap:LongtermDebtTypeAxis","us-gaap:LetterOfCreditMember"],["us-gaap:DebtInstrumentAxis","vistra:SecuredLetterOfCreditFacilitiesMember"],["dei:LegalEntityAxis","vistra:VistraOperationsCompanyLLCMember"]]</x:v>
      </x:c>
      <x:c r="L53" s="44" t="n">
        <x:v>9</x:v>
      </x:c>
      <x:c r="M53" s="44" t="str">
        <x:v>-6</x:v>
      </x:c>
      <x:c r="N53" s="44" t="str">
        <x:v>https://www.sec.gov/Archives/edgar/data/1692819/000169281926000019/vistra-20260630.htm</x:v>
      </x:c>
      <x:c r="O53" s="44" t="str">
        <x:v>10-Q Note 12, pp. 20–28</x:v>
      </x:c>
      <x:c r="P53" s="70"/>
    </x:row>
    <x:row r="54" ht="52" customHeight="1">
      <x:c r="A54" s="69" t="str">
        <x:v>loc_alternative</x:v>
      </x:c>
      <x:c r="B54" s="49" t="n">
        <x:v>736000000</x:v>
      </x:c>
      <x:c r="C54" s="44" t="str">
        <x:v>Alternative LOC facilities outstanding</x:v>
      </x:c>
      <x:c r="D54" s="50"/>
      <x:c r="E54" s="50" t="d">
        <x:v>2026-06-30T00:00:00.000Z</x:v>
      </x:c>
      <x:c r="F54" s="44" t="str">
        <x:v>10-Q</x:v>
      </x:c>
      <x:c r="G54" s="50" t="d">
        <x:v>2026-08-10T00:00:00.000Z</x:v>
      </x:c>
      <x:c r="H54" s="44" t="str">
        <x:v>0001692819-26-000019</x:v>
      </x:c>
      <x:c r="I54" s="44" t="str">
        <x:v>us-gaap:LettersOfCreditOutstandingAmount</x:v>
      </x:c>
      <x:c r="J54" s="44" t="str">
        <x:v>c-704</x:v>
      </x:c>
      <x:c r="K54" s="44" t="str">
        <x:v>[["us-gaap:CreditFacilityAxis","us-gaap:LetterOfCreditMember"],["us-gaap:DebtInstrumentAxis","vistra:AlternateLetterOfCreditFacilityMember"]]</x:v>
      </x:c>
      <x:c r="L54" s="44" t="n">
        <x:v>6</x:v>
      </x:c>
      <x:c r="M54" s="44" t="str">
        <x:v>-6</x:v>
      </x:c>
      <x:c r="N54" s="44" t="str">
        <x:v>https://www.sec.gov/Archives/edgar/data/1692819/000169281926000019/vistra-20260630.htm</x:v>
      </x:c>
      <x:c r="O54" s="44" t="str">
        <x:v>10-Q Note 12, pp. 20–28</x:v>
      </x:c>
      <x:c r="P54" s="70"/>
    </x:row>
    <x:row r="55" ht="52" customHeight="1">
      <x:c r="A55" s="69" t="str">
        <x:v>loc_total</x:v>
      </x:c>
      <x:c r="B55" s="49" t="n">
        <x:v>3587000000</x:v>
      </x:c>
      <x:c r="C55" s="44" t="str">
        <x:v>Reported letters of credit total</x:v>
      </x:c>
      <x:c r="D55" s="50"/>
      <x:c r="E55" s="50" t="d">
        <x:v>2026-06-30T00:00:00.000Z</x:v>
      </x:c>
      <x:c r="F55" s="44" t="str">
        <x:v>10-Q</x:v>
      </x:c>
      <x:c r="G55" s="50" t="d">
        <x:v>2026-08-10T00:00:00.000Z</x:v>
      </x:c>
      <x:c r="H55" s="44" t="str">
        <x:v>0001692819-26-000019</x:v>
      </x:c>
      <x:c r="I55" s="44" t="str">
        <x:v>us-gaap:LettersOfCreditOutstandingAmount</x:v>
      </x:c>
      <x:c r="J55" s="44" t="str">
        <x:v>c-970</x:v>
      </x:c>
      <x:c r="K55" s="44" t="str">
        <x:v>[["us-gaap:GuaranteeObligationsByNatureAxis","us-gaap:FinancialStandbyLetterOfCreditMember"],["dei:LegalEntityAxis","vistra:VistraOperationsCompanyLLCMember"]]</x:v>
      </x:c>
      <x:c r="L55" s="44" t="n">
        <x:v>9</x:v>
      </x:c>
      <x:c r="M55" s="44" t="str">
        <x:v>-6</x:v>
      </x:c>
      <x:c r="N55" s="44" t="str">
        <x:v>https://www.sec.gov/Archives/edgar/data/1692819/000169281926000019/vistra-20260630.htm</x:v>
      </x:c>
      <x:c r="O55" s="44" t="str">
        <x:v>10-Q Note 12, pp. 20–28</x:v>
      </x:c>
      <x:c r="P55" s="70"/>
    </x:row>
    <x:row r="56" ht="52" customHeight="1">
      <x:c r="A56" s="69" t="str">
        <x:v>revolver_limit</x:v>
      </x:c>
      <x:c r="B56" s="49" t="n">
        <x:v>5500000000</x:v>
      </x:c>
      <x:c r="C56" s="44" t="str">
        <x:v>Revolver limit</x:v>
      </x:c>
      <x:c r="D56" s="50"/>
      <x:c r="E56" s="50" t="d">
        <x:v>2026-06-30T00:00:00.000Z</x:v>
      </x:c>
      <x:c r="F56" s="44" t="str">
        <x:v>10-Q</x:v>
      </x:c>
      <x:c r="G56" s="50" t="d">
        <x:v>2026-08-10T00:00:00.000Z</x:v>
      </x:c>
      <x:c r="H56" s="44" t="str">
        <x:v>0001692819-26-000019</x:v>
      </x:c>
      <x:c r="I56" s="44" t="str">
        <x:v>us-gaap:LineOfCreditFacilityMaximumBorrowingCapacity</x:v>
      </x:c>
      <x:c r="J56" s="44" t="str">
        <x:v>c-660</x:v>
      </x:c>
      <x:c r="K56" s="44" t="str">
        <x:v>[["us-gaap:LongtermDebtTypeAxis","us-gaap:LineOfCreditMember"],["us-gaap:DebtInstrumentAxis","vistra:SeniorSecuredRevolvingCreditFacilityMember"]]</x:v>
      </x:c>
      <x:c r="L56" s="44" t="n">
        <x:v>6</x:v>
      </x:c>
      <x:c r="M56" s="44" t="str">
        <x:v>-6</x:v>
      </x:c>
      <x:c r="N56" s="44" t="str">
        <x:v>https://www.sec.gov/Archives/edgar/data/1692819/000169281926000019/vistra-20260630.htm</x:v>
      </x:c>
      <x:c r="O56" s="44" t="str">
        <x:v>10-Q Note 12, pp. 20–28</x:v>
      </x:c>
      <x:c r="P56" s="70"/>
    </x:row>
    <x:row r="57" ht="52" customHeight="1">
      <x:c r="A57" s="69" t="str">
        <x:v>revolver_drawn</x:v>
      </x:c>
      <x:c r="B57" s="49" t="n">
        <x:v>0</x:v>
      </x:c>
      <x:c r="C57" s="44" t="str">
        <x:v>Revolver drawn</x:v>
      </x:c>
      <x:c r="D57" s="50"/>
      <x:c r="E57" s="50" t="d">
        <x:v>2026-06-30T00:00:00.000Z</x:v>
      </x:c>
      <x:c r="F57" s="44" t="str">
        <x:v>10-Q</x:v>
      </x:c>
      <x:c r="G57" s="50" t="d">
        <x:v>2026-08-10T00:00:00.000Z</x:v>
      </x:c>
      <x:c r="H57" s="44" t="str">
        <x:v>0001692819-26-000019</x:v>
      </x:c>
      <x:c r="I57" s="44" t="str">
        <x:v>vistra:LineOfCreditFacilityBorrowingsOutstanding</x:v>
      </x:c>
      <x:c r="J57" s="44" t="str">
        <x:v>c-660</x:v>
      </x:c>
      <x:c r="K57" s="44" t="str">
        <x:v>[["us-gaap:LongtermDebtTypeAxis","us-gaap:LineOfCreditMember"],["us-gaap:DebtInstrumentAxis","vistra:SeniorSecuredRevolvingCreditFacilityMember"]]</x:v>
      </x:c>
      <x:c r="L57" s="44" t="n">
        <x:v>6</x:v>
      </x:c>
      <x:c r="M57" s="44" t="str">
        <x:v>-6</x:v>
      </x:c>
      <x:c r="N57" s="44" t="str">
        <x:v>https://www.sec.gov/Archives/edgar/data/1692819/000169281926000019/vistra-20260630.htm</x:v>
      </x:c>
      <x:c r="O57" s="44" t="str">
        <x:v>10-Q Note 12, pp. 20–28</x:v>
      </x:c>
      <x:c r="P57" s="70"/>
    </x:row>
    <x:row r="58" ht="52" customHeight="1">
      <x:c r="A58" s="69" t="str">
        <x:v>revolver_lc</x:v>
      </x:c>
      <x:c r="B58" s="49" t="n">
        <x:v>1092000000</x:v>
      </x:c>
      <x:c r="C58" s="44" t="str">
        <x:v>Revolver lc</x:v>
      </x:c>
      <x:c r="D58" s="50"/>
      <x:c r="E58" s="50" t="d">
        <x:v>2026-06-30T00:00:00.000Z</x:v>
      </x:c>
      <x:c r="F58" s="44" t="str">
        <x:v>10-Q</x:v>
      </x:c>
      <x:c r="G58" s="50" t="d">
        <x:v>2026-08-10T00:00:00.000Z</x:v>
      </x:c>
      <x:c r="H58" s="44" t="str">
        <x:v>0001692819-26-000019</x:v>
      </x:c>
      <x:c r="I58" s="44" t="str">
        <x:v>vistra:LineOfCreditFacilityLettersOfCreditOutstanding</x:v>
      </x:c>
      <x:c r="J58" s="44" t="str">
        <x:v>c-660</x:v>
      </x:c>
      <x:c r="K58" s="44" t="str">
        <x:v>[["us-gaap:LongtermDebtTypeAxis","us-gaap:LineOfCreditMember"],["us-gaap:DebtInstrumentAxis","vistra:SeniorSecuredRevolvingCreditFacilityMember"]]</x:v>
      </x:c>
      <x:c r="L58" s="44" t="n">
        <x:v>6</x:v>
      </x:c>
      <x:c r="M58" s="44" t="str">
        <x:v>-6</x:v>
      </x:c>
      <x:c r="N58" s="44" t="str">
        <x:v>https://www.sec.gov/Archives/edgar/data/1692819/000169281926000019/vistra-20260630.htm</x:v>
      </x:c>
      <x:c r="O58" s="44" t="str">
        <x:v>10-Q Note 12, pp. 20–28</x:v>
      </x:c>
      <x:c r="P58" s="70"/>
    </x:row>
    <x:row r="59" ht="52" customHeight="1">
      <x:c r="A59" s="69" t="str">
        <x:v>revolver_available</x:v>
      </x:c>
      <x:c r="B59" s="49" t="n">
        <x:v>4408000000</x:v>
      </x:c>
      <x:c r="C59" s="44" t="str">
        <x:v>Revolver available</x:v>
      </x:c>
      <x:c r="D59" s="50"/>
      <x:c r="E59" s="50" t="d">
        <x:v>2026-06-30T00:00:00.000Z</x:v>
      </x:c>
      <x:c r="F59" s="44" t="str">
        <x:v>10-Q</x:v>
      </x:c>
      <x:c r="G59" s="50" t="d">
        <x:v>2026-08-10T00:00:00.000Z</x:v>
      </x:c>
      <x:c r="H59" s="44" t="str">
        <x:v>0001692819-26-000019</x:v>
      </x:c>
      <x:c r="I59" s="44" t="str">
        <x:v>us-gaap:LineOfCreditFacilityRemainingBorrowingCapacity</x:v>
      </x:c>
      <x:c r="J59" s="44" t="str">
        <x:v>c-660</x:v>
      </x:c>
      <x:c r="K59" s="44" t="str">
        <x:v>[["us-gaap:LongtermDebtTypeAxis","us-gaap:LineOfCreditMember"],["us-gaap:DebtInstrumentAxis","vistra:SeniorSecuredRevolvingCreditFacilityMember"]]</x:v>
      </x:c>
      <x:c r="L59" s="44" t="n">
        <x:v>6</x:v>
      </x:c>
      <x:c r="M59" s="44" t="str">
        <x:v>-6</x:v>
      </x:c>
      <x:c r="N59" s="44" t="str">
        <x:v>https://www.sec.gov/Archives/edgar/data/1692819/000169281926000019/vistra-20260630.htm</x:v>
      </x:c>
      <x:c r="O59" s="44" t="str">
        <x:v>10-Q Note 12, pp. 20–28</x:v>
      </x:c>
      <x:c r="P59" s="70"/>
    </x:row>
    <x:row r="60" ht="52" customHeight="1">
      <x:c r="A60" s="69" t="str">
        <x:v>commodity_limit</x:v>
      </x:c>
      <x:c r="B60" s="49" t="n">
        <x:v>1750000000</x:v>
      </x:c>
      <x:c r="C60" s="44" t="str">
        <x:v>Commodity limit</x:v>
      </x:c>
      <x:c r="D60" s="50"/>
      <x:c r="E60" s="50" t="d">
        <x:v>2026-06-30T00:00:00.000Z</x:v>
      </x:c>
      <x:c r="F60" s="44" t="str">
        <x:v>10-Q</x:v>
      </x:c>
      <x:c r="G60" s="50" t="d">
        <x:v>2026-08-10T00:00:00.000Z</x:v>
      </x:c>
      <x:c r="H60" s="44" t="str">
        <x:v>0001692819-26-000019</x:v>
      </x:c>
      <x:c r="I60" s="44" t="str">
        <x:v>us-gaap:LineOfCreditFacilityMaximumBorrowingCapacity</x:v>
      </x:c>
      <x:c r="J60" s="44" t="str">
        <x:v>c-662</x:v>
      </x:c>
      <x:c r="K60" s="44" t="str">
        <x:v>[["us-gaap:LongtermDebtTypeAxis","us-gaap:RevolvingCreditFacilityMember"],["us-gaap:DebtInstrumentAxis","vistra:SeniorSecuredCommodityLinkedRevolvingCreditFacilityMember"]]</x:v>
      </x:c>
      <x:c r="L60" s="44" t="n">
        <x:v>6</x:v>
      </x:c>
      <x:c r="M60" s="44" t="str">
        <x:v>-6</x:v>
      </x:c>
      <x:c r="N60" s="44" t="str">
        <x:v>https://www.sec.gov/Archives/edgar/data/1692819/000169281926000019/vistra-20260630.htm</x:v>
      </x:c>
      <x:c r="O60" s="44" t="str">
        <x:v>10-Q Note 12, pp. 20–28</x:v>
      </x:c>
      <x:c r="P60" s="70"/>
    </x:row>
    <x:row r="61" ht="52" customHeight="1">
      <x:c r="A61" s="69" t="str">
        <x:v>commodity_drawn</x:v>
      </x:c>
      <x:c r="B61" s="49" t="n">
        <x:v>0</x:v>
      </x:c>
      <x:c r="C61" s="44" t="str">
        <x:v>Commodity drawn</x:v>
      </x:c>
      <x:c r="D61" s="50"/>
      <x:c r="E61" s="50" t="d">
        <x:v>2026-06-30T00:00:00.000Z</x:v>
      </x:c>
      <x:c r="F61" s="44" t="str">
        <x:v>10-Q</x:v>
      </x:c>
      <x:c r="G61" s="50" t="d">
        <x:v>2026-08-10T00:00:00.000Z</x:v>
      </x:c>
      <x:c r="H61" s="44" t="str">
        <x:v>0001692819-26-000019</x:v>
      </x:c>
      <x:c r="I61" s="44" t="str">
        <x:v>vistra:LineOfCreditFacilityBorrowingsOutstanding</x:v>
      </x:c>
      <x:c r="J61" s="44" t="str">
        <x:v>c-662</x:v>
      </x:c>
      <x:c r="K61" s="44" t="str">
        <x:v>[["us-gaap:LongtermDebtTypeAxis","us-gaap:RevolvingCreditFacilityMember"],["us-gaap:DebtInstrumentAxis","vistra:SeniorSecuredCommodityLinkedRevolvingCreditFacilityMember"]]</x:v>
      </x:c>
      <x:c r="L61" s="44" t="n">
        <x:v>6</x:v>
      </x:c>
      <x:c r="M61" s="44" t="str">
        <x:v>-6</x:v>
      </x:c>
      <x:c r="N61" s="44" t="str">
        <x:v>https://www.sec.gov/Archives/edgar/data/1692819/000169281926000019/vistra-20260630.htm</x:v>
      </x:c>
      <x:c r="O61" s="44" t="str">
        <x:v>10-Q Note 12, pp. 20–28</x:v>
      </x:c>
      <x:c r="P61" s="70"/>
    </x:row>
    <x:row r="62" ht="52" customHeight="1">
      <x:c r="A62" s="69" t="str">
        <x:v>commodity_lc</x:v>
      </x:c>
      <x:c r="B62" s="49" t="n">
        <x:v>0</x:v>
      </x:c>
      <x:c r="C62" s="44" t="str">
        <x:v>Commodity lc</x:v>
      </x:c>
      <x:c r="D62" s="50"/>
      <x:c r="E62" s="50" t="d">
        <x:v>2026-06-30T00:00:00.000Z</x:v>
      </x:c>
      <x:c r="F62" s="44" t="str">
        <x:v>10-Q</x:v>
      </x:c>
      <x:c r="G62" s="50" t="d">
        <x:v>2026-08-10T00:00:00.000Z</x:v>
      </x:c>
      <x:c r="H62" s="44" t="str">
        <x:v>0001692819-26-000019</x:v>
      </x:c>
      <x:c r="I62" s="44" t="str">
        <x:v>vistra:LineOfCreditFacilityLettersOfCreditOutstanding</x:v>
      </x:c>
      <x:c r="J62" s="44" t="str">
        <x:v>c-662</x:v>
      </x:c>
      <x:c r="K62" s="44" t="str">
        <x:v>[["us-gaap:LongtermDebtTypeAxis","us-gaap:RevolvingCreditFacilityMember"],["us-gaap:DebtInstrumentAxis","vistra:SeniorSecuredCommodityLinkedRevolvingCreditFacilityMember"]]</x:v>
      </x:c>
      <x:c r="L62" s="44" t="n">
        <x:v>6</x:v>
      </x:c>
      <x:c r="M62" s="44" t="str">
        <x:v>-6</x:v>
      </x:c>
      <x:c r="N62" s="44" t="str">
        <x:v>https://www.sec.gov/Archives/edgar/data/1692819/000169281926000019/vistra-20260630.htm</x:v>
      </x:c>
      <x:c r="O62" s="44" t="str">
        <x:v>10-Q Note 12, pp. 20–28</x:v>
      </x:c>
      <x:c r="P62" s="70"/>
    </x:row>
    <x:row r="63" ht="52" customHeight="1">
      <x:c r="A63" s="69" t="str">
        <x:v>commodity_available</x:v>
      </x:c>
      <x:c r="B63" s="49" t="n">
        <x:v>1452000000</x:v>
      </x:c>
      <x:c r="C63" s="44" t="str">
        <x:v>Commodity available</x:v>
      </x:c>
      <x:c r="D63" s="50"/>
      <x:c r="E63" s="50" t="d">
        <x:v>2026-06-30T00:00:00.000Z</x:v>
      </x:c>
      <x:c r="F63" s="44" t="str">
        <x:v>10-Q</x:v>
      </x:c>
      <x:c r="G63" s="50" t="d">
        <x:v>2026-08-10T00:00:00.000Z</x:v>
      </x:c>
      <x:c r="H63" s="44" t="str">
        <x:v>0001692819-26-000019</x:v>
      </x:c>
      <x:c r="I63" s="44" t="str">
        <x:v>us-gaap:LineOfCreditFacilityRemainingBorrowingCapacity</x:v>
      </x:c>
      <x:c r="J63" s="44" t="str">
        <x:v>c-662</x:v>
      </x:c>
      <x:c r="K63" s="44" t="str">
        <x:v>[["us-gaap:LongtermDebtTypeAxis","us-gaap:RevolvingCreditFacilityMember"],["us-gaap:DebtInstrumentAxis","vistra:SeniorSecuredCommodityLinkedRevolvingCreditFacilityMember"]]</x:v>
      </x:c>
      <x:c r="L63" s="44" t="n">
        <x:v>6</x:v>
      </x:c>
      <x:c r="M63" s="44" t="str">
        <x:v>-6</x:v>
      </x:c>
      <x:c r="N63" s="44" t="str">
        <x:v>https://www.sec.gov/Archives/edgar/data/1692819/000169281926000019/vistra-20260630.htm</x:v>
      </x:c>
      <x:c r="O63" s="44" t="str">
        <x:v>10-Q Note 12, pp. 20–28</x:v>
      </x:c>
      <x:c r="P63" s="70"/>
    </x:row>
    <x:row r="64" ht="52" customHeight="1">
      <x:c r="A64" s="69" t="str">
        <x:v>bcop_available</x:v>
      </x:c>
      <x:c r="B64" s="49" t="n">
        <x:v>0</x:v>
      </x:c>
      <x:c r="C64" s="44" t="str">
        <x:v>BCOP reported unused capacity</x:v>
      </x:c>
      <x:c r="D64" s="50"/>
      <x:c r="E64" s="50" t="d">
        <x:v>2026-06-30T00:00:00.000Z</x:v>
      </x:c>
      <x:c r="F64" s="44" t="str">
        <x:v>10-Q</x:v>
      </x:c>
      <x:c r="G64" s="50" t="d">
        <x:v>2026-08-10T00:00:00.000Z</x:v>
      </x:c>
      <x:c r="H64" s="44" t="str">
        <x:v>0001692819-26-000019</x:v>
      </x:c>
      <x:c r="I64" s="44" t="str">
        <x:v>us-gaap:LineOfCreditFacilityRemainingBorrowingCapacity</x:v>
      </x:c>
      <x:c r="J64" s="44" t="str">
        <x:v>c-663</x:v>
      </x:c>
      <x:c r="K64" s="44" t="str">
        <x:v>[["us-gaap:DebtInstrumentAxis","vistra:BCOPCreditFacilitiesMember"]]</x:v>
      </x:c>
      <x:c r="L64" s="44" t="n">
        <x:v>6</x:v>
      </x:c>
      <x:c r="M64" s="44" t="str">
        <x:v>-6</x:v>
      </x:c>
      <x:c r="N64" s="44" t="str">
        <x:v>https://www.sec.gov/Archives/edgar/data/1692819/000169281926000019/vistra-20260630.htm</x:v>
      </x:c>
      <x:c r="O64" s="44" t="str">
        <x:v>10-Q Note 12, pp. 20–28</x:v>
      </x:c>
      <x:c r="P64" s="70"/>
    </x:row>
    <x:row r="65" ht="52" customHeight="1">
      <x:c r="A65" s="69" t="str">
        <x:v>zero_available</x:v>
      </x:c>
      <x:c r="B65" s="49" t="n">
        <x:v>0</x:v>
      </x:c>
      <x:c r="C65" s="44" t="str">
        <x:v>ZERO reported unused capacity</x:v>
      </x:c>
      <x:c r="D65" s="50"/>
      <x:c r="E65" s="50" t="d">
        <x:v>2026-06-30T00:00:00.000Z</x:v>
      </x:c>
      <x:c r="F65" s="44" t="str">
        <x:v>10-Q</x:v>
      </x:c>
      <x:c r="G65" s="50" t="d">
        <x:v>2026-08-10T00:00:00.000Z</x:v>
      </x:c>
      <x:c r="H65" s="44" t="str">
        <x:v>0001692819-26-000019</x:v>
      </x:c>
      <x:c r="I65" s="44" t="str">
        <x:v>us-gaap:LineOfCreditFacilityRemainingBorrowingCapacity</x:v>
      </x:c>
      <x:c r="J65" s="44" t="str">
        <x:v>c-664</x:v>
      </x:c>
      <x:c r="K65" s="44" t="str">
        <x:v>[["us-gaap:LongtermDebtTypeAxis","us-gaap:RevolvingCreditFacilityMember"],["us-gaap:DebtInstrumentAxis","vistra:VistraZeroTermLoanBFacilityMember"]]</x:v>
      </x:c>
      <x:c r="L65" s="44" t="n">
        <x:v>6</x:v>
      </x:c>
      <x:c r="M65" s="44" t="str">
        <x:v>-6</x:v>
      </x:c>
      <x:c r="N65" s="44" t="str">
        <x:v>https://www.sec.gov/Archives/edgar/data/1692819/000169281926000019/vistra-20260630.htm</x:v>
      </x:c>
      <x:c r="O65" s="44" t="str">
        <x:v>10-Q Note 12, pp. 20–28</x:v>
      </x:c>
      <x:c r="P65" s="70"/>
    </x:row>
    <x:row r="66" ht="52" customHeight="1">
      <x:c r="A66" s="69" t="str">
        <x:v>txef_available</x:v>
      </x:c>
      <x:c r="B66" s="49" t="n">
        <x:v>0</x:v>
      </x:c>
      <x:c r="C66" s="44" t="str">
        <x:v>TXEF reported unused capacity</x:v>
      </x:c>
      <x:c r="D66" s="50"/>
      <x:c r="E66" s="50" t="d">
        <x:v>2026-06-30T00:00:00.000Z</x:v>
      </x:c>
      <x:c r="F66" s="44" t="str">
        <x:v>10-Q</x:v>
      </x:c>
      <x:c r="G66" s="50" t="d">
        <x:v>2026-08-10T00:00:00.000Z</x:v>
      </x:c>
      <x:c r="H66" s="44" t="str">
        <x:v>0001692819-26-000019</x:v>
      </x:c>
      <x:c r="I66" s="44" t="str">
        <x:v>us-gaap:LineOfCreditFacilityRemainingBorrowingCapacity</x:v>
      </x:c>
      <x:c r="J66" s="44" t="str">
        <x:v>c-665</x:v>
      </x:c>
      <x:c r="K66" s="44" t="str">
        <x:v>[["us-gaap:LongtermDebtTypeAxis","us-gaap:RevolvingCreditFacilityMember"],["us-gaap:DebtInstrumentAxis","vistra:TexasEnergyFundLoanMember"]]</x:v>
      </x:c>
      <x:c r="L66" s="44" t="n">
        <x:v>6</x:v>
      </x:c>
      <x:c r="M66" s="44" t="str">
        <x:v>-6</x:v>
      </x:c>
      <x:c r="N66" s="44" t="str">
        <x:v>https://www.sec.gov/Archives/edgar/data/1692819/000169281926000019/vistra-20260630.htm</x:v>
      </x:c>
      <x:c r="O66" s="44" t="str">
        <x:v>10-Q Note 12, pp. 20–28</x:v>
      </x:c>
      <x:c r="P66" s="70"/>
    </x:row>
    <x:row r="67" ht="52" customHeight="1">
      <x:c r="A67" s="69" t="str">
        <x:v>helix_initial</x:v>
      </x:c>
      <x:c r="B67" s="49" t="n">
        <x:v>500000000</x:v>
      </x:c>
      <x:c r="C67" s="44" t="str">
        <x:v>Helix Initial</x:v>
      </x:c>
      <x:c r="D67" s="50" t="d">
        <x:v>2026-06-01T00:00:00.000Z</x:v>
      </x:c>
      <x:c r="E67" s="50" t="d">
        <x:v>2026-06-30T00:00:00.000Z</x:v>
      </x:c>
      <x:c r="F67" s="44" t="str">
        <x:v>10-Q</x:v>
      </x:c>
      <x:c r="G67" s="50" t="d">
        <x:v>2026-08-10T00:00:00.000Z</x:v>
      </x:c>
      <x:c r="H67" s="44" t="str">
        <x:v>0001692819-26-000019</x:v>
      </x:c>
      <x:c r="I67" s="44" t="str">
        <x:v>vistra:InvestmentCompanyInitialCommitmentCapital</x:v>
      </x:c>
      <x:c r="J67" s="44" t="str">
        <x:v>c-510</x:v>
      </x:c>
      <x:c r="K67" s="44" t="str">
        <x:v>[]</x:v>
      </x:c>
      <x:c r="L67" s="44" t="n">
        <x:v>6</x:v>
      </x:c>
      <x:c r="M67" s="44" t="str">
        <x:v>-6</x:v>
      </x:c>
      <x:c r="N67" s="44" t="str">
        <x:v>https://www.sec.gov/Archives/edgar/data/1692819/000169281926000019/vistra-20260630.htm</x:v>
      </x:c>
      <x:c r="O67" s="44" t="str">
        <x:v>10-Q Note 7 p. 15; MD&amp;A p. 69</x:v>
      </x:c>
      <x:c r="P67" s="70"/>
    </x:row>
    <x:row r="68" ht="52" customHeight="1">
      <x:c r="A68" s="69" t="str">
        <x:v>helix_additional</x:v>
      </x:c>
      <x:c r="B68" s="49" t="n">
        <x:v>500000000</x:v>
      </x:c>
      <x:c r="C68" s="44" t="str">
        <x:v>Helix Additional</x:v>
      </x:c>
      <x:c r="D68" s="50" t="d">
        <x:v>2026-06-01T00:00:00.000Z</x:v>
      </x:c>
      <x:c r="E68" s="50" t="d">
        <x:v>2026-06-30T00:00:00.000Z</x:v>
      </x:c>
      <x:c r="F68" s="44" t="str">
        <x:v>10-Q</x:v>
      </x:c>
      <x:c r="G68" s="50" t="d">
        <x:v>2026-08-10T00:00:00.000Z</x:v>
      </x:c>
      <x:c r="H68" s="44" t="str">
        <x:v>0001692819-26-000019</x:v>
      </x:c>
      <x:c r="I68" s="44" t="str">
        <x:v>vistra:InvestmentCompanyAdditionalCommitmentCapital</x:v>
      </x:c>
      <x:c r="J68" s="44" t="str">
        <x:v>c-510</x:v>
      </x:c>
      <x:c r="K68" s="44" t="str">
        <x:v>[]</x:v>
      </x:c>
      <x:c r="L68" s="44" t="n">
        <x:v>6</x:v>
      </x:c>
      <x:c r="M68" s="44" t="str">
        <x:v>-6</x:v>
      </x:c>
      <x:c r="N68" s="44" t="str">
        <x:v>https://www.sec.gov/Archives/edgar/data/1692819/000169281926000019/vistra-20260630.htm</x:v>
      </x:c>
      <x:c r="O68" s="44" t="str">
        <x:v>10-Q Note 7 p. 15; MD&amp;A p. 69</x:v>
      </x:c>
      <x:c r="P68" s="70"/>
    </x:row>
    <x:row r="69" ht="52" customHeight="1">
      <x:c r="A69" s="69" t="str">
        <x:v>cogentrix</x:v>
      </x:c>
      <x:c r="B69" s="49" t="n">
        <x:v>2300000000</x:v>
      </x:c>
      <x:c r="C69" s="44" t="str">
        <x:v>Expected Cogentrix cash consideration</x:v>
      </x:c>
      <x:c r="D69" s="50" t="d">
        <x:v>2025-12-31T00:00:00.000Z</x:v>
      </x:c>
      <x:c r="E69" s="50" t="d">
        <x:v>2025-12-31T00:00:00.000Z</x:v>
      </x:c>
      <x:c r="F69" s="44" t="str">
        <x:v>10-Q</x:v>
      </x:c>
      <x:c r="G69" s="50" t="d">
        <x:v>2026-08-10T00:00:00.000Z</x:v>
      </x:c>
      <x:c r="H69" s="44" t="str">
        <x:v>0001692819-26-000019</x:v>
      </x:c>
      <x:c r="I69" s="44" t="str">
        <x:v>us-gaap:BusinessCombinationConsiderationTransferred1</x:v>
      </x:c>
      <x:c r="J69" s="44" t="str">
        <x:v>c-91</x:v>
      </x:c>
      <x:c r="K69" s="44" t="str">
        <x:v>[["us-gaap:BusinessAcquisitionAxis","vistra:CogentrixEnergyMember"]]</x:v>
      </x:c>
      <x:c r="L69" s="44" t="n">
        <x:v>9</x:v>
      </x:c>
      <x:c r="M69" s="44" t="str">
        <x:v>-8</x:v>
      </x:c>
      <x:c r="N69" s="44" t="str">
        <x:v>https://www.sec.gov/Archives/edgar/data/1692819/000169281926000019/vistra-20260630.htm</x:v>
      </x:c>
      <x:c r="O69" s="44" t="str">
        <x:v>10-Q Note 3 p. 9; expected closing late 2026</x:v>
      </x:c>
      <x:c r="P69" s="70"/>
    </x:row>
    <x:row r="70" ht="52" customHeight="1">
      <x:c r="A70" s="69" t="str">
        <x:v>annual_0</x:v>
      </x:c>
      <x:c r="B70" s="49" t="n">
        <x:v>1201000000</x:v>
      </x:c>
      <x:c r="C70" s="44" t="str">
        <x:v>2026</x:v>
      </x:c>
      <x:c r="D70" s="50"/>
      <x:c r="E70" s="50" t="d">
        <x:v>2025-12-31T00:00:00.000Z</x:v>
      </x:c>
      <x:c r="F70" s="44" t="str">
        <x:v>10-K</x:v>
      </x:c>
      <x:c r="G70" s="50" t="d">
        <x:v>2026-02-27T00:00:00.000Z</x:v>
      </x:c>
      <x:c r="H70" s="44" t="str">
        <x:v>0001692819-26-000006</x:v>
      </x:c>
      <x:c r="I70" s="44" t="str">
        <x:v>us-gaap:LongTermDebtMaturitiesRepaymentsOfPrincipalInNextTwelveMonths</x:v>
      </x:c>
      <x:c r="J70" s="44" t="str">
        <x:v>c-7</x:v>
      </x:c>
      <x:c r="K70" s="44" t="str">
        <x:v>[]</x:v>
      </x:c>
      <x:c r="L70" s="44" t="n">
        <x:v>6</x:v>
      </x:c>
      <x:c r="M70" s="44" t="str">
        <x:v>-6</x:v>
      </x:c>
      <x:c r="N70" s="44" t="str">
        <x:v>https://www.sec.gov/Archives/edgar/data/1692819/000169281926000006/vistra-20251231.htm</x:v>
      </x:c>
      <x:c r="O70" s="44" t="str">
        <x:v>10-K Note 13, long-term debt maturities, pp. 114–115</x:v>
      </x:c>
      <x:c r="P70" s="70"/>
    </x:row>
    <x:row r="71" ht="52" customHeight="1">
      <x:c r="A71" s="69" t="str">
        <x:v>annual_1</x:v>
      </x:c>
      <x:c r="B71" s="49" t="n">
        <x:v>3435000000</x:v>
      </x:c>
      <x:c r="C71" s="44" t="str">
        <x:v>2027</x:v>
      </x:c>
      <x:c r="D71" s="50"/>
      <x:c r="E71" s="50" t="d">
        <x:v>2025-12-31T00:00:00.000Z</x:v>
      </x:c>
      <x:c r="F71" s="44" t="str">
        <x:v>10-K</x:v>
      </x:c>
      <x:c r="G71" s="50" t="d">
        <x:v>2026-02-27T00:00:00.000Z</x:v>
      </x:c>
      <x:c r="H71" s="44" t="str">
        <x:v>0001692819-26-000006</x:v>
      </x:c>
      <x:c r="I71" s="44" t="str">
        <x:v>us-gaap:LongTermDebtMaturitiesRepaymentsOfPrincipalInYearTwo</x:v>
      </x:c>
      <x:c r="J71" s="44" t="str">
        <x:v>c-7</x:v>
      </x:c>
      <x:c r="K71" s="44" t="str">
        <x:v>[]</x:v>
      </x:c>
      <x:c r="L71" s="44" t="n">
        <x:v>6</x:v>
      </x:c>
      <x:c r="M71" s="44" t="str">
        <x:v>-6</x:v>
      </x:c>
      <x:c r="N71" s="44" t="str">
        <x:v>https://www.sec.gov/Archives/edgar/data/1692819/000169281926000006/vistra-20251231.htm</x:v>
      </x:c>
      <x:c r="O71" s="44" t="str">
        <x:v>10-K Note 13, long-term debt maturities, pp. 114–115</x:v>
      </x:c>
      <x:c r="P71" s="70"/>
    </x:row>
    <x:row r="72" ht="52" customHeight="1">
      <x:c r="A72" s="69" t="str">
        <x:v>annual_2</x:v>
      </x:c>
      <x:c r="B72" s="49" t="n">
        <x:v>786000000</x:v>
      </x:c>
      <x:c r="C72" s="44" t="str">
        <x:v>2028</x:v>
      </x:c>
      <x:c r="D72" s="50"/>
      <x:c r="E72" s="50" t="d">
        <x:v>2025-12-31T00:00:00.000Z</x:v>
      </x:c>
      <x:c r="F72" s="44" t="str">
        <x:v>10-K</x:v>
      </x:c>
      <x:c r="G72" s="50" t="d">
        <x:v>2026-02-27T00:00:00.000Z</x:v>
      </x:c>
      <x:c r="H72" s="44" t="str">
        <x:v>0001692819-26-000006</x:v>
      </x:c>
      <x:c r="I72" s="44" t="str">
        <x:v>us-gaap:LongTermDebtMaturitiesRepaymentsOfPrincipalInYearThree</x:v>
      </x:c>
      <x:c r="J72" s="44" t="str">
        <x:v>c-7</x:v>
      </x:c>
      <x:c r="K72" s="44" t="str">
        <x:v>[]</x:v>
      </x:c>
      <x:c r="L72" s="44" t="n">
        <x:v>6</x:v>
      </x:c>
      <x:c r="M72" s="44" t="str">
        <x:v>-6</x:v>
      </x:c>
      <x:c r="N72" s="44" t="str">
        <x:v>https://www.sec.gov/Archives/edgar/data/1692819/000169281926000006/vistra-20251231.htm</x:v>
      </x:c>
      <x:c r="O72" s="44" t="str">
        <x:v>10-K Note 13, long-term debt maturities, pp. 114–115</x:v>
      </x:c>
      <x:c r="P72" s="70"/>
    </x:row>
    <x:row r="73" ht="52" customHeight="1">
      <x:c r="A73" s="69" t="str">
        <x:v>annual_3</x:v>
      </x:c>
      <x:c r="B73" s="49" t="n">
        <x:v>2362000000</x:v>
      </x:c>
      <x:c r="C73" s="44" t="str">
        <x:v>2029</x:v>
      </x:c>
      <x:c r="D73" s="50"/>
      <x:c r="E73" s="50" t="d">
        <x:v>2025-12-31T00:00:00.000Z</x:v>
      </x:c>
      <x:c r="F73" s="44" t="str">
        <x:v>10-K</x:v>
      </x:c>
      <x:c r="G73" s="50" t="d">
        <x:v>2026-02-27T00:00:00.000Z</x:v>
      </x:c>
      <x:c r="H73" s="44" t="str">
        <x:v>0001692819-26-000006</x:v>
      </x:c>
      <x:c r="I73" s="44" t="str">
        <x:v>us-gaap:LongTermDebtMaturitiesRepaymentsOfPrincipalInYearFour</x:v>
      </x:c>
      <x:c r="J73" s="44" t="str">
        <x:v>c-7</x:v>
      </x:c>
      <x:c r="K73" s="44" t="str">
        <x:v>[]</x:v>
      </x:c>
      <x:c r="L73" s="44" t="n">
        <x:v>6</x:v>
      </x:c>
      <x:c r="M73" s="44" t="str">
        <x:v>-6</x:v>
      </x:c>
      <x:c r="N73" s="44" t="str">
        <x:v>https://www.sec.gov/Archives/edgar/data/1692819/000169281926000006/vistra-20251231.htm</x:v>
      </x:c>
      <x:c r="O73" s="44" t="str">
        <x:v>10-K Note 13, long-term debt maturities, pp. 114–115</x:v>
      </x:c>
      <x:c r="P73" s="70"/>
    </x:row>
    <x:row r="74" ht="52" customHeight="1">
      <x:c r="A74" s="69" t="str">
        <x:v>annual_4</x:v>
      </x:c>
      <x:c r="B74" s="49" t="n">
        <x:v>2853000000</x:v>
      </x:c>
      <x:c r="C74" s="44" t="str">
        <x:v>2030</x:v>
      </x:c>
      <x:c r="D74" s="50"/>
      <x:c r="E74" s="50" t="d">
        <x:v>2025-12-31T00:00:00.000Z</x:v>
      </x:c>
      <x:c r="F74" s="44" t="str">
        <x:v>10-K</x:v>
      </x:c>
      <x:c r="G74" s="50" t="d">
        <x:v>2026-02-27T00:00:00.000Z</x:v>
      </x:c>
      <x:c r="H74" s="44" t="str">
        <x:v>0001692819-26-000006</x:v>
      </x:c>
      <x:c r="I74" s="44" t="str">
        <x:v>us-gaap:LongTermDebtMaturitiesRepaymentsOfPrincipalInYearFive</x:v>
      </x:c>
      <x:c r="J74" s="44" t="str">
        <x:v>c-7</x:v>
      </x:c>
      <x:c r="K74" s="44" t="str">
        <x:v>[]</x:v>
      </x:c>
      <x:c r="L74" s="44" t="n">
        <x:v>6</x:v>
      </x:c>
      <x:c r="M74" s="44" t="str">
        <x:v>-6</x:v>
      </x:c>
      <x:c r="N74" s="44" t="str">
        <x:v>https://www.sec.gov/Archives/edgar/data/1692819/000169281926000006/vistra-20251231.htm</x:v>
      </x:c>
      <x:c r="O74" s="44" t="str">
        <x:v>10-K Note 13, long-term debt maturities, pp. 114–115</x:v>
      </x:c>
      <x:c r="P74" s="70"/>
    </x:row>
    <x:row r="75" ht="52" customHeight="1">
      <x:c r="A75" s="69" t="str">
        <x:v>annual_5</x:v>
      </x:c>
      <x:c r="B75" s="49" t="n">
        <x:v>6559000000</x:v>
      </x:c>
      <x:c r="C75" s="44" t="str">
        <x:v>Thereafter</x:v>
      </x:c>
      <x:c r="D75" s="50"/>
      <x:c r="E75" s="50" t="d">
        <x:v>2025-12-31T00:00:00.000Z</x:v>
      </x:c>
      <x:c r="F75" s="44" t="str">
        <x:v>10-K</x:v>
      </x:c>
      <x:c r="G75" s="50" t="d">
        <x:v>2026-02-27T00:00:00.000Z</x:v>
      </x:c>
      <x:c r="H75" s="44" t="str">
        <x:v>0001692819-26-000006</x:v>
      </x:c>
      <x:c r="I75" s="44" t="str">
        <x:v>us-gaap:LongTermDebtMaturitiesRepaymentsOfPrincipalAfterYearFive</x:v>
      </x:c>
      <x:c r="J75" s="44" t="str">
        <x:v>c-7</x:v>
      </x:c>
      <x:c r="K75" s="44" t="str">
        <x:v>[]</x:v>
      </x:c>
      <x:c r="L75" s="44" t="n">
        <x:v>6</x:v>
      </x:c>
      <x:c r="M75" s="44" t="str">
        <x:v>-6</x:v>
      </x:c>
      <x:c r="N75" s="44" t="str">
        <x:v>https://www.sec.gov/Archives/edgar/data/1692819/000169281926000006/vistra-20251231.htm</x:v>
      </x:c>
      <x:c r="O75" s="44" t="str">
        <x:v>10-K Note 13, long-term debt maturities, pp. 114–115</x:v>
      </x:c>
      <x:c r="P75" s="70"/>
    </x:row>
    <x:row r="76" ht="52" customHeight="1">
      <x:c r="A76" s="69" t="str">
        <x:v>annual_carrying</x:v>
      </x:c>
      <x:c r="B76" s="49" t="n">
        <x:v>17043000000</x:v>
      </x:c>
      <x:c r="C76" s="44" t="str">
        <x:v>Annual long-term debt carrying amount</x:v>
      </x:c>
      <x:c r="D76" s="50"/>
      <x:c r="E76" s="50" t="d">
        <x:v>2025-12-31T00:00:00.000Z</x:v>
      </x:c>
      <x:c r="F76" s="44" t="str">
        <x:v>10-K</x:v>
      </x:c>
      <x:c r="G76" s="50" t="d">
        <x:v>2026-02-27T00:00:00.000Z</x:v>
      </x:c>
      <x:c r="H76" s="44" t="str">
        <x:v>0001692819-26-000006</x:v>
      </x:c>
      <x:c r="I76" s="44" t="str">
        <x:v>us-gaap:LongTermDebtAndCapitalLeaseObligationsIncludingCurrentMaturities</x:v>
      </x:c>
      <x:c r="J76" s="44" t="str">
        <x:v>c-7</x:v>
      </x:c>
      <x:c r="K76" s="44" t="str">
        <x:v>[]</x:v>
      </x:c>
      <x:c r="L76" s="44" t="n">
        <x:v>6</x:v>
      </x:c>
      <x:c r="M76" s="44" t="str">
        <x:v>-6</x:v>
      </x:c>
      <x:c r="N76" s="44" t="str">
        <x:v>https://www.sec.gov/Archives/edgar/data/1692819/000169281926000006/vistra-20251231.htm</x:v>
      </x:c>
      <x:c r="O76" s="44" t="str">
        <x:v>10-K Note 13, pp. 114–115</x:v>
      </x:c>
      <x:c r="P76" s="70"/>
    </x:row>
    <x:row r="77" ht="52" customHeight="1">
      <x:c r="A77" s="71" t="str">
        <x:v>annual_costs</x:v>
      </x:c>
      <x:c r="B77" s="90" t="n">
        <x:v>153000000</x:v>
      </x:c>
      <x:c r="C77" s="84" t="str">
        <x:v>Annual debt premiums, discounts and costs</x:v>
      </x:c>
      <x:c r="D77" s="91"/>
      <x:c r="E77" s="91" t="d">
        <x:v>2025-12-31T00:00:00.000Z</x:v>
      </x:c>
      <x:c r="F77" s="84" t="str">
        <x:v>10-K</x:v>
      </x:c>
      <x:c r="G77" s="91" t="d">
        <x:v>2026-02-27T00:00:00.000Z</x:v>
      </x:c>
      <x:c r="H77" s="84" t="str">
        <x:v>0001692819-26-000006</x:v>
      </x:c>
      <x:c r="I77" s="84" t="str">
        <x:v>us-gaap:DebtInstrumentUnamortizedDiscountPremiumAndDebtIssuanceCostsNet</x:v>
      </x:c>
      <x:c r="J77" s="84" t="str">
        <x:v>c-7</x:v>
      </x:c>
      <x:c r="K77" s="84" t="str">
        <x:v>[]</x:v>
      </x:c>
      <x:c r="L77" s="84" t="n">
        <x:v>6</x:v>
      </x:c>
      <x:c r="M77" s="84" t="str">
        <x:v>-6</x:v>
      </x:c>
      <x:c r="N77" s="84" t="str">
        <x:v>https://www.sec.gov/Archives/edgar/data/1692819/000169281926000006/vistra-20251231.htm</x:v>
      </x:c>
      <x:c r="O77" s="84" t="str">
        <x:v>10-K Note 13, pp. 114–115</x:v>
      </x:c>
      <x:c r="P77" s="74"/>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17" t="str">
        <x:v>Topic</x:v>
      </x:c>
      <x:c r="B1" s="118" t="str">
        <x:v>Finding / limitation</x:v>
      </x:c>
      <x:c r="C1" s="118" t="str">
        <x:v>Source</x:v>
      </x:c>
      <x:c r="D1" s="119" t="str">
        <x:v>Location / filing date</x:v>
      </x:c>
    </x:row>
    <x:row r="2" ht="90" customHeight="1">
      <x:c r="A2" s="69" t="str">
        <x:v>Scope</x:v>
      </x:c>
      <x:c r="B2" s="44" t="str">
        <x:v>Saved Vistra review checked October 15, 2026. Cash and facility balances remain dated June 30. Not live data or investment advice.</x:v>
      </x:c>
      <x:c r="C2" s="44"/>
      <x:c r="D2" s="70"/>
    </x:row>
    <x:row r="3" ht="90" customHeight="1">
      <x:c r="A3" s="69" t="str">
        <x:v>Workbook</x:v>
      </x:c>
      <x:c r="B3" s="44" t="str">
        <x:v>Cash review shows historical sources and uses. Payment dates separates June amounts from the old annual schedule. Financing capacity distinguishes resources and borrowers. Data retains facts and provenance.</x:v>
      </x:c>
      <x:c r="C3" s="44"/>
      <x:c r="D3" s="70"/>
    </x:row>
    <x:row r="4" ht="90" customHeight="1">
      <x:c r="A4" s="69" t="str">
        <x:v>Format</x:v>
      </x:c>
      <x:c r="B4" s="44" t="str">
        <x:v>Full USD stored, displayed in millions. Arial 10. Blue inputs, green links, black calculations. A dash is numeric zero; a blank available-capacity cell means Unavailable.</x:v>
      </x:c>
      <x:c r="C4" s="44"/>
      <x:c r="D4" s="70"/>
    </x:row>
    <x:row r="5" ht="90" customHeight="1">
      <x:c r="A5" s="69" t="str">
        <x:v>Numeric inputs</x:v>
      </x:c>
      <x:c r="B5" s="44" t="str">
        <x:v>Missing inputs produce a visible #N/A in dependent arithmetic, never zero. Original facts are a frozen evidence record, not forecast assumptions.</x:v>
      </x:c>
      <x:c r="C5" s="44"/>
      <x:c r="D5" s="70"/>
    </x:row>
    <x:row r="6" ht="90" customHeight="1">
      <x:c r="A6" s="69" t="str">
        <x:v>Corporate revolver draw conditions</x:v>
      </x:c>
      <x:c r="B6" s="44"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44" t="str">
        <x:v>https://www.sec.gov/Archives/edgar/data/1692819/000114036126026944/ef20077059_ex10-1.htm</x:v>
      </x:c>
      <x:c r="D6" s="70" t="str">
        <x:v>Ex.10.1, clean agreement Annex B §§7.1–7.2, 9.13, 10.9; Compliance Period definition; event 2026-06-24; filed 2026-06-30; 0001140361-26-026944</x:v>
      </x:c>
    </x:row>
    <x:row r="7" ht="90" customHeight="1">
      <x:c r="A7" s="69" t="str">
        <x:v>Commodity-linked borrowing conditions</x:v>
      </x:c>
      <x:c r="B7" s="44"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44" t="str">
        <x:v>https://www.sec.gov/Archives/edgar/data/1692819/000114036126038468/ef20083016_ex10-1.htm</x:v>
      </x:c>
      <x:c r="D7" s="70" t="str">
        <x:v>Ex.10.1, §1.1 definitions, §§2.1, 5.2, 7.1–7.2, 10.9; amendment commitment schedule; event 2026-09-30; filed 2026-10-05; 0001140361-26-038468</x:v>
      </x:c>
    </x:row>
    <x:row r="8" ht="90" customHeight="1">
      <x:c r="A8" s="69" t="str">
        <x:v>Receivables and repurchase renewals</x:v>
      </x:c>
      <x:c r="B8" s="44"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44" t="str">
        <x:v>https://www.sec.gov/Archives/edgar/data/1692819/000114036126028619/ef20077984_ex4-1.htm</x:v>
      </x:c>
      <x:c r="D8" s="70" t="str">
        <x:v>Ex.4.1 §§2.1–2.5 and Schedule VI; Ex.10.1 §2; 10-Q Note 12 p.27; event 2026-07-10; filed 2026-07-16; 0001140361-26-028619</x:v>
      </x:c>
    </x:row>
    <x:row r="9" ht="90" customHeight="1">
      <x:c r="A9" s="69" t="str">
        <x:v>Project repayment and recourse</x:v>
      </x:c>
      <x:c r="B9" s="44"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44" t="str">
        <x:v>https://www.sec.gov/Archives/edgar/data/1692819/000169281926000019/vistra-20260630.htm</x:v>
      </x:c>
      <x:c r="D9" s="70" t="str">
        <x:v>10-Q Note 12 pp.24–25; event 2026-06-30; filed 2026-08-10; 0001692819-26-000019</x:v>
      </x:c>
    </x:row>
    <x:row r="10" ht="90" customHeight="1">
      <x:c r="A10" s="69" t="str">
        <x:v>Parent distributions</x:v>
      </x:c>
      <x:c r="B10" s="44"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44" t="str">
        <x:v>https://www.sec.gov/Archives/edgar/data/1692819/000169281926000006/vistra-20251231.htm</x:v>
      </x:c>
      <x:c r="D10" s="70" t="str">
        <x:v>10-K Note 13 p.116; Schedule I pp.159–160; 10-Q Note 12 p.23; event 2025-12-31; filed 2026-02-27; 0001692819-26-000006</x:v>
      </x:c>
    </x:row>
    <x:row r="11" ht="90" customHeight="1">
      <x:c r="A11" s="69" t="str">
        <x:v>Facility capacity before balance sheet</x:v>
      </x:c>
      <x:c r="B11" s="44" t="str">
        <x:v>Corporate revolving credit commitments increased from $3.44 billion to $5.50 billion and certain guarantees and covenants changed. The event preceded the June 30 balance sheet; $5.50 billion is facility capacity, not an additional borrowing after that date.</x:v>
      </x:c>
      <x:c r="C11" s="44" t="str">
        <x:v>https://www.sec.gov/Archives/edgar/data/1692819/000114036126026944/ef20077059_8k.htm</x:v>
      </x:c>
      <x:c r="D11" s="70" t="str">
        <x:v>Event 2026-06-24; filed 2026-06-30; 8-K; 0001140361-26-026944</x:v>
      </x:c>
    </x:row>
    <x:row r="12" ht="90" customHeight="1">
      <x:c r="A12" s="69" t="str">
        <x:v>Facility capacity and term</x:v>
      </x:c>
      <x:c r="B12" s="44" t="str">
        <x:v>Receivables purchasers' aggregate commitment rose from $1.1 billion to $1.25 billion, and the agreement was extended to July 9, 2027. The separate repurchase facility was also extended to that date. The $1.25 billion is capacity, not a reported outstanding borrowing.</x:v>
      </x:c>
      <x:c r="C12" s="44" t="str">
        <x:v>https://www.sec.gov/Archives/edgar/data/1692819/000114036126028619/ef20077984_8k.htm</x:v>
      </x:c>
      <x:c r="D12" s="70" t="str">
        <x:v>Event 2026-07-10; filed 2026-07-16; 8-K; 0001140361-26-028619</x:v>
      </x:c>
    </x:row>
    <x:row r="13" ht="90" customHeight="1">
      <x:c r="A13" s="69" t="str">
        <x:v>Not a financing filing</x:v>
      </x:c>
      <x:c r="B13" s="44" t="str">
        <x:v>Reports PJM electricity capacity auction results for planning year 2028/2029; it does not report a new borrowing or financing facility.</x:v>
      </x:c>
      <x:c r="C13" s="44" t="str">
        <x:v>https://www.sec.gov/Archives/edgar/data/1692819/000114036126028454/ef20077988_8k.htm</x:v>
      </x:c>
      <x:c r="D13" s="70" t="str">
        <x:v>Event 2026-07-14; filed 2026-07-14; 8-K; 0001140361-26-028454</x:v>
      </x:c>
    </x:row>
    <x:row r="14" ht="90" customHeight="1">
      <x:c r="A14" s="69" t="str">
        <x:v>Earnings release, not later borrowing</x:v>
      </x:c>
      <x:c r="B14" s="44"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44" t="str">
        <x:v>https://www.sec.gov/Archives/edgar/data/1692819/000169281926000017/vistra-20260807.htm</x:v>
      </x:c>
      <x:c r="D14" s="70" t="str">
        <x:v>Event 2026-08-07; filed 2026-08-07; 8-K; 0001692819-26-000017</x:v>
      </x:c>
    </x:row>
    <x:row r="15" ht="90" customHeight="1">
      <x:c r="A15" s="69" t="str">
        <x:v>Shelf registration, not issuance</x:v>
      </x:c>
      <x:c r="B15" s="44" t="str">
        <x:v>Registers securities for possible offerings. The later pricing sheet, final prospectus and September 24 8-K identify the completed junior-note issuance; this registration is not a separate borrowing.</x:v>
      </x:c>
      <x:c r="C15" s="44" t="str">
        <x:v>https://www.sec.gov/Archives/edgar/data/1692819/000114036126035954/ny20081693x1_s3asr.htm</x:v>
      </x:c>
      <x:c r="D15" s="70" t="str">
        <x:v>Event not stated; filed 2026-09-09; S-3ASR; 0001140361-26-035954</x:v>
      </x:c>
    </x:row>
    <x:row r="16" ht="90" customHeight="1">
      <x:c r="A16" s="69" t="str">
        <x:v>Preliminary offering document, not issuance</x:v>
      </x:c>
      <x:c r="B16" s="44" t="str">
        <x:v>Preliminary prospectus for the two junior-note series due 2057 has blank principal amounts and rates. The later FWP supplies pricing and the September 24 8-K confirms issuance; this document is not another borrowing.</x:v>
      </x:c>
      <x:c r="C16" s="44" t="str">
        <x:v>https://www.sec.gov/Archives/edgar/data/1692819/000114036126036130/ny20081693x2_424b5.htm</x:v>
      </x:c>
      <x:c r="D16" s="70" t="str">
        <x:v>Event not stated; filed 2026-09-10; 424B5; 0001140361-26-036130</x:v>
      </x:c>
    </x:row>
    <x:row r="17" ht="90" customHeight="1">
      <x:c r="A17" s="69" t="str">
        <x:v>Pricing terms; same notes as September 24 issuance</x:v>
      </x:c>
      <x:c r="B17" s="44" t="str">
        <x:v>Pricing sheet for $850 million Series A and $650 million Series B junior subordinated notes due 2057, with initial rates of 7.000% and 7.250%. It projected September 24 settlement; the later 8-K confirms issuance. This is not additional debt beyond that issuance.</x:v>
      </x:c>
      <x:c r="C17" s="44" t="str">
        <x:v>https://www.sec.gov/Archives/edgar/data/1692819/000114036126036245/ef20081902_fwp.htm</x:v>
      </x:c>
      <x:c r="D17" s="70" t="str">
        <x:v>Event 2026-09-10; filed 2026-09-11; FWP; 0001140361-26-036245</x:v>
      </x:c>
    </x:row>
    <x:row r="18" ht="90" customHeight="1">
      <x:c r="A18" s="69" t="str">
        <x:v>Final offering terms; same notes as September 24 issuance</x:v>
      </x:c>
      <x:c r="B18" s="44"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44" t="str">
        <x:v>https://www.sec.gov/Archives/edgar/data/1692819/000114036126036415/ny20081693x3_424b2.htm</x:v>
      </x:c>
      <x:c r="D18" s="70" t="str">
        <x:v>Event not stated; filed 2026-09-14; 424B2; 0001140361-26-036415</x:v>
      </x:c>
    </x:row>
    <x:row r="19" ht="90" customHeight="1">
      <x:c r="A19" s="69" t="str">
        <x:v>New debt issued after balance sheet</x:v>
      </x:c>
      <x:c r="B19" s="44"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44" t="str">
        <x:v>https://www.sec.gov/Archives/edgar/data/1692819/000114036126037577/ef20082680_8k.htm</x:v>
      </x:c>
      <x:c r="D19" s="70" t="str">
        <x:v>Event 2026-09-24; filed 2026-09-24; 8-K; 0001140361-26-037577</x:v>
      </x:c>
    </x:row>
    <x:row r="20" ht="90" customHeight="1">
      <x:c r="A20" s="69" t="str">
        <x:v>Facility maturity change</x:v>
      </x:c>
      <x:c r="B20" s="44" t="str">
        <x:v>Commodity-linked revolving credit facility maturity was extended from September 30, 2026 to September 29, 2027. This filing does not establish an additional amount borrowed.</x:v>
      </x:c>
      <x:c r="C20" s="44" t="str">
        <x:v>https://www.sec.gov/Archives/edgar/data/1692819/000114036126038468/ef20083016_8k.htm</x:v>
      </x:c>
      <x:c r="D20" s="70" t="str">
        <x:v>Event 2026-09-30; filed 2026-10-05; 8-K; 0001140361-26-038468</x:v>
      </x:c>
    </x:row>
    <x:row r="21" ht="90" customHeight="1">
      <x:c r="A21" s="69" t="str">
        <x:v>Limit 1</x:v>
      </x:c>
      <x:c r="B21" s="44" t="str">
        <x:v>June 30 is the cash and availability date. Current cash, drawable capacity, parent-accessible cash and contractual covenant headroom are Unavailable.</x:v>
      </x:c>
      <x:c r="C21" s="44"/>
      <x:c r="D21" s="70"/>
    </x:row>
    <x:row r="22" ht="90" customHeight="1">
      <x:c r="A22" s="69" t="str">
        <x:v>Limit 2</x:v>
      </x:c>
      <x:c r="B22" s="44" t="str">
        <x:v>Operating cash flow is seasonal and weighted toward the second half. The first-half result and TTM figures do not establish future recurring cash generation.</x:v>
      </x:c>
      <x:c r="C22" s="44"/>
      <x:c r="D22" s="70"/>
    </x:row>
    <x:row r="23" ht="90" customHeight="1">
      <x:c r="A23" s="69" t="str">
        <x:v>Limit 3</x:v>
      </x:c>
      <x:c r="B23" s="44" t="str">
        <x:v>Interest cash in operating cash flow is not deducted twice. Nuveen principal paid in financing is separate from interest paid in operating cash flow.</x:v>
      </x:c>
      <x:c r="C23" s="44"/>
      <x:c r="D23" s="70"/>
    </x:row>
    <x:row r="24" ht="90" customHeight="1">
      <x:c r="A24" s="69" t="str">
        <x:v>Limit 4</x:v>
      </x:c>
      <x:c r="B24" s="44"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44"/>
      <x:c r="D24" s="70"/>
    </x:row>
    <x:row r="25" ht="90" customHeight="1">
      <x:c r="A25" s="69" t="str">
        <x:v>Limit 5</x:v>
      </x:c>
      <x:c r="B25" s="44" t="str">
        <x:v>Letters of credit total 3.587B: 1.092B corporate revolver, 1.759B other LOC facilities and 736M alternative facilities. The 1.092B already reduces revolver availability. Other LOC facilities are uncommitted credit support, not extra cash borrowing capacity.</x:v>
      </x:c>
      <x:c r="C25" s="44"/>
      <x:c r="D25" s="70"/>
    </x:row>
    <x:row r="26" ht="90" customHeight="1">
      <x:c r="A26" s="69" t="str">
        <x:v>Limit 6</x:v>
      </x:c>
      <x:c r="B26" s="44" t="str">
        <x:v>Note 12 also states 13M of BCOP debt-service reserve LCs while its credit facilities table displays zero project LCs. Scope/overlap with the 3.587B total is not established; no additional aggregate is inferred.</x:v>
      </x:c>
      <x:c r="C26" s="44"/>
      <x:c r="D26" s="70"/>
    </x:row>
    <x:row r="27" ht="90" customHeight="1">
      <x:c r="A27" s="69" t="str">
        <x:v>Limit 7</x:v>
      </x:c>
      <x:c r="B27" s="44" t="str">
        <x:v>The 2025 annual maturity schedule is historical. First-half refinancing and new debt prevent carrying it forward as remaining June maturities. The selected dated payments are not a full debt-service or obligations schedule.</x:v>
      </x:c>
      <x:c r="C27" s="44"/>
      <x:c r="D27" s="70"/>
    </x:row>
    <x:row r="28" ht="90" customHeight="1">
      <x:c r="A28" s="69" t="str">
        <x:v>Limit 8</x:v>
      </x:c>
      <x:c r="B28" s="44"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44"/>
      <x:c r="D28" s="70"/>
    </x:row>
    <x:row r="29" ht="90" customHeight="1">
      <x:c r="A29" s="69" t="str">
        <x:v>Limit 9</x:v>
      </x:c>
      <x:c r="B29" s="44" t="str">
        <x:v>Helix initial 500M remains callable at June 30. Funded-to-date and call dates are Unavailable. The additional 500M milestones had not occurred; Vistra could elect to invest anyway. Neither amount is scheduled into December.</x:v>
      </x:c>
      <x:c r="C29" s="44"/>
      <x:c r="D29" s="70"/>
    </x:row>
    <x:row r="30" ht="90" customHeight="1">
      <x:c r="A30" s="69" t="str">
        <x:v>Limit 10</x:v>
      </x:c>
      <x:c r="B30" s="44" t="str">
        <x:v>No forecast surplus, cash runway or overall repayment shortfall is calculated. Future collateral calls, capex, acquisitions and transfer restrictions prevent combining dated cash and capacity into a promised funding result.</x:v>
      </x:c>
      <x:c r="C30" s="44"/>
      <x:c r="D30" s="70"/>
    </x:row>
    <x:row r="31" ht="90" customHeight="1">
      <x:c r="A31" s="69" t="str">
        <x:v>Index review</x:v>
      </x:c>
      <x:c r="B31" s="44"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44" t="str">
        <x:v>https://data.sec.gov/submissions/CIK0001692819.json</x:v>
      </x:c>
      <x:c r="D31" s="70" t="str">
        <x:v>Retrieved October 15, 2026</x:v>
      </x:c>
    </x:row>
    <x:row r="32" ht="90" customHeight="1">
      <x:c r="A32" s="71" t="str">
        <x:v>October filing date</x:v>
      </x:c>
      <x:c r="B32" s="84" t="str">
        <x:v>The Sep 30 amendment was accepted Oct 2 at 20:12:47 but its EDGAR filing date is Oct 5. Filing date corrected from the older review.</x:v>
      </x:c>
      <x:c r="C32" s="84" t="str">
        <x:v>https://www.sec.gov/Archives/edgar/data/1692819/000114036126038468/0001140361-26-038468-index.html</x:v>
      </x:c>
      <x:c r="D32" s="74" t="str">
        <x:v>Event Sep 30, filed Oct 5, 2026</x:v>
      </x:c>
    </x:row>
  </x:sheetData>
  <x:pageMargins left="0.7" right="0.7" top="0.75" bottom="0.75" header="0.3" footer="0.3"/>
</x:worksheet>
</file>