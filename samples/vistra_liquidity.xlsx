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e743a2d20ab40d5" /></Relationships>
</file>

<file path=xl/workbook.xml><?xml version="1.0" encoding="utf-8"?>
<x:workbook xmlns:x="http://schemas.openxmlformats.org/spreadsheetml/2006/main">
  <x:sheets>
    <x:sheet xmlns:r="http://schemas.openxmlformats.org/officeDocument/2006/relationships" name="Funding conclusion" sheetId="1" r:id="Rf903a3fdc73946a1"/>
    <x:sheet xmlns:r="http://schemas.openxmlformats.org/officeDocument/2006/relationships" name="Borrowing and leases" sheetId="2" r:id="R32159d9c47e6457a"/>
    <x:sheet xmlns:r="http://schemas.openxmlformats.org/officeDocument/2006/relationships" name="Debt and liquidity" sheetId="3" r:id="Rdb27c746ce25401c"/>
    <x:sheet xmlns:r="http://schemas.openxmlformats.org/officeDocument/2006/relationships" name="History" sheetId="4" r:id="R6b18c22a79404d97"/>
    <x:sheet xmlns:r="http://schemas.openxmlformats.org/officeDocument/2006/relationships" name="Core charts" sheetId="5" r:id="Rf12f57a1f3224a88"/>
    <x:sheet xmlns:r="http://schemas.openxmlformats.org/officeDocument/2006/relationships" name="Cash review" sheetId="6" r:id="R602f850cf3824308"/>
    <x:sheet xmlns:r="http://schemas.openxmlformats.org/officeDocument/2006/relationships" name="Payment dates" sheetId="7" r:id="R80207a063f9042aa"/>
    <x:sheet xmlns:r="http://schemas.openxmlformats.org/officeDocument/2006/relationships" name="Financing capacity" sheetId="8" r:id="Rabe53840cdd64826"/>
    <x:sheet xmlns:r="http://schemas.openxmlformats.org/officeDocument/2006/relationships" name="Data" sheetId="9" r:id="R6bc8859e50534217"/>
    <x:sheet xmlns:r="http://schemas.openxmlformats.org/officeDocument/2006/relationships" name="About" sheetId="10" r:id="Re0589fd2dcec4223"/>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0,,;(#,##0.00,,);0.00"/>
    <x:numFmt numFmtId="204" formatCode="0.0%"/>
  </x:numFmts>
  <x:fonts count="2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4" fontId="8" fillId="0" borderId="0" xfId="0" applyNumberFormat="1" applyFont="1" applyFill="1" applyBorder="1"/>
    <x:xf numFmtId="204" fontId="10" fillId="0" borderId="0" xfId="0" applyNumberFormat="1" applyFont="1" applyFill="1" applyBorder="1"/>
    <x:xf numFmtId="204" fontId="12" fillId="0" borderId="0" xfId="0" applyNumberFormat="1" applyFont="1" applyFill="1" applyBorder="1"/>
    <x:xf numFmtId="204" fontId="12" fillId="0" borderId="0" xfId="0" applyNumberFormat="1" applyFont="1" applyFill="1" applyBorder="1" applyAlignment="1">
      <x:alignment wrapText="1"/>
    </x:xf>
    <x:xf numFmtId="204" fontId="12" fillId="0" borderId="0" xfId="0" applyNumberFormat="1" applyFont="1" applyFill="1" applyBorder="1" applyAlignment="1">
      <x:alignment vertical="top" wrapText="1"/>
    </x:xf>
    <x:xf numFmtId="204"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xf numFmtId="0" fontId="12"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12"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4622eb84c624416" /><Relationship Type="http://schemas.openxmlformats.org/officeDocument/2006/relationships/theme" Target="/xl/theme/theme1.xml" Id="R826fbf65064b4a04" /><Relationship Type="http://schemas.openxmlformats.org/officeDocument/2006/relationships/sharedStrings" Target="/xl/sharedStrings.xml" Id="Rf3c66a3226314b3e" /><Relationship Type="http://schemas.openxmlformats.org/officeDocument/2006/relationships/worksheet" Target="/xl/worksheets/sheet1.xml" Id="Rf903a3fdc73946a1" /><Relationship Type="http://schemas.openxmlformats.org/officeDocument/2006/relationships/worksheet" Target="/xl/worksheets/sheet2.xml" Id="R32159d9c47e6457a" /><Relationship Type="http://schemas.openxmlformats.org/officeDocument/2006/relationships/worksheet" Target="/xl/worksheets/sheet3.xml" Id="Rdb27c746ce25401c" /><Relationship Type="http://schemas.openxmlformats.org/officeDocument/2006/relationships/worksheet" Target="/xl/worksheets/sheet4.xml" Id="R6b18c22a79404d97" /><Relationship Type="http://schemas.openxmlformats.org/officeDocument/2006/relationships/worksheet" Target="/xl/worksheets/sheet5.xml" Id="Rf12f57a1f3224a88" /><Relationship Type="http://schemas.openxmlformats.org/officeDocument/2006/relationships/worksheet" Target="/xl/worksheets/sheet6.xml" Id="R602f850cf3824308" /><Relationship Type="http://schemas.openxmlformats.org/officeDocument/2006/relationships/worksheet" Target="/xl/worksheets/sheet7.xml" Id="R80207a063f9042aa" /><Relationship Type="http://schemas.openxmlformats.org/officeDocument/2006/relationships/worksheet" Target="/xl/worksheets/sheet8.xml" Id="Rabe53840cdd64826" /><Relationship Type="http://schemas.openxmlformats.org/officeDocument/2006/relationships/worksheet" Target="/xl/worksheets/sheet9.xml" Id="R6bc8859e50534217" /><Relationship Type="http://schemas.openxmlformats.org/officeDocument/2006/relationships/worksheet" Target="/xl/worksheets/sheet10.xml" Id="Re0589fd2dcec4223" /></Relationships>
</file>

<file path=xl/drawings/_rels/drawing1.xml.rels>&#65279;<?xml version="1.0" encoding="utf-8"?><Relationships xmlns="http://schemas.openxmlformats.org/package/2006/relationships"><Relationship Type="http://schemas.openxmlformats.org/officeDocument/2006/relationships/chart" Target="/xl/drawings/charts/chart1.xml" Id="R86358dc2e594496e" /><Relationship Type="http://schemas.openxmlformats.org/officeDocument/2006/relationships/chart" Target="/xl/drawings/charts/chart2.xml" Id="Rda2fd63a7e49463e" /></Relationships>
</file>

<file path=xl/drawings/_rels/drawing2.xml.rels>&#65279;<?xml version="1.0" encoding="utf-8"?><Relationships xmlns="http://schemas.openxmlformats.org/package/2006/relationships"><Relationship Type="http://schemas.openxmlformats.org/officeDocument/2006/relationships/chart" Target="/xl/drawings/charts/chart3.xml" Id="R86a12686a32d49d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6358dc2e594496e"/>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2fd63a7e49463e"/>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6a12686a32d49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38b80a9403664846" /></Relationships>
</file>

<file path=xl/worksheets/_rels/sheet7.xml.rels>&#65279;<?xml version="1.0" encoding="utf-8"?><Relationships xmlns="http://schemas.openxmlformats.org/package/2006/relationships"><Relationship Type="http://schemas.openxmlformats.org/officeDocument/2006/relationships/drawing" Target="/xl/drawings/drawing2.xml" Id="Redcbf2737d114a09"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Vistra Corp.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26" t="str">
        <x:v>USD millions</x:v>
      </x:c>
      <x:c r="C5" s="226" t="str">
        <x:v>As of</x:v>
      </x:c>
      <x:c r="D5" s="226" t="str">
        <x:v>Source / filing</x:v>
      </x:c>
      <x:c r="E5" s="14" t="str">
        <x:v>Basis</x:v>
      </x:c>
    </x:row>
    <x:row r="6" ht="42" customHeight="1">
      <x:c r="A6" s="25" t="str">
        <x:v>Long-term debt, current portion</x:v>
      </x:c>
      <x:c r="B6" s="248" t="n">
        <x:f>IF(ISNUMBER('Data'!B127),'Data'!B127,NA())</x:f>
        <x:v>1876000000</x:v>
      </x:c>
      <x:c r="C6" s="235" t="d">
        <x:v>2026-06-30T00:00:00.000Z</x:v>
      </x:c>
      <x:c r="D6" s="212" t="str">
        <x:v>10-Q balance sheet, p. 2; Note 12, p. 20; filed 2026-08-10</x:v>
      </x:c>
      <x:c r="E6" s="16" t="str">
        <x:v>Long-term debt due currently</x:v>
      </x:c>
    </x:row>
    <x:row r="7" ht="42" customHeight="1">
      <x:c r="A7" s="25" t="str">
        <x:v>Long-term debt, noncurrent</x:v>
      </x:c>
      <x:c r="B7" s="248" t="n">
        <x:f>IF(ISNUMBER('Data'!B128),'Data'!B128,NA())</x:f>
        <x:v>17719000000</x:v>
      </x:c>
      <x:c r="C7" s="235" t="d">
        <x:v>2026-06-30T00:00:00.000Z</x:v>
      </x:c>
      <x:c r="D7" s="212" t="str">
        <x:v>10-Q balance sheet, p. 2; Note 12, p. 20; filed 2026-08-10</x:v>
      </x:c>
      <x:c r="E7" s="16" t="str">
        <x:v>Long-term debt, less amounts due currently</x:v>
      </x:c>
    </x:row>
    <x:row r="8" ht="42" customHeight="1">
      <x:c r="A8" s="25" t="str">
        <x:v>Short-term borrowings</x:v>
      </x:c>
      <x:c r="B8" s="248" t="n">
        <x:f>IF(ISNUMBER('Data'!B129),'Data'!B129,NA())</x:f>
        <x:v>0</x:v>
      </x:c>
      <x:c r="C8" s="235" t="d">
        <x:v>2026-06-30T00:00:00.000Z</x:v>
      </x:c>
      <x:c r="D8" s="212" t="str">
        <x:v>10-Q balance sheet, p. 2; Note 12, p. 20; filed 2026-08-10</x:v>
      </x:c>
      <x:c r="E8" s="16" t="str">
        <x:v>Reported zero, not a missing input.</x:v>
      </x:c>
    </x:row>
    <x:row r="9" ht="42" customHeight="1">
      <x:c r="A9" s="25" t="str">
        <x:v>Accounts receivable financing</x:v>
      </x:c>
      <x:c r="B9" s="248" t="n">
        <x:f>IF(ISNUMBER('Data'!B130),'Data'!B130,NA())</x:f>
        <x:v>300000000</x:v>
      </x:c>
      <x:c r="C9" s="235" t="d">
        <x:v>2026-06-30T00:00:00.000Z</x:v>
      </x:c>
      <x:c r="D9" s="212" t="str">
        <x:v>10-Q balance sheet, p. 2; Note 12, p. 20; filed 2026-08-10</x:v>
      </x:c>
      <x:c r="E9" s="16" t="str">
        <x:v>Accounts receivable financing</x:v>
      </x:c>
    </x:row>
    <x:row r="10" ht="42" customHeight="1">
      <x:c r="A10" s="263" t="str">
        <x:v>Baseline gross debt</x:v>
      </x:c>
      <x:c r="B10" s="264" t="n">
        <x:f>SUM(B6:B9)</x:f>
        <x:v>19895000000</x:v>
      </x:c>
      <x:c r="C10" s="265" t="d">
        <x:v>2026-06-30T00:00:00.000Z</x:v>
      </x:c>
      <x:c r="D10" s="266" t="str">
        <x:v>Derived from the components above</x:v>
      </x:c>
      <x:c r="E10" s="267" t="str">
        <x:v>Carrying amount; excludes leases.</x:v>
      </x:c>
    </x:row>
    <x:row r="11" ht="12" customHeight="1">
      <x:c r="A11" s="4"/>
      <x:c r="B11" s="231"/>
      <x:c r="C11" s="233"/>
      <x:c r="D11" s="4"/>
      <x:c r="E11" s="4"/>
    </x:row>
    <x:row r="12" ht="58" customHeight="1">
      <x:c r="A12" s="4" t="str">
        <x:v>Borrowing scope</x:v>
      </x:c>
      <x:c r="B12" s="231"/>
      <x:c r="C12" s="233"/>
      <x:c r="D12" s="4"/>
      <x:c r="E12" s="4" t="str">
        <x:v>Project-level debt is already included in long-term debt. Nuveen's purchase obligation and affiliate margin-deposit financing remain separate. Note 12's debt itemization contains no lease line.</x:v>
      </x:c>
    </x:row>
    <x:row r="13" ht="12" customHeight="1">
      <x:c r="A13" s="4"/>
      <x:c r="B13" s="231"/>
      <x:c r="C13" s="233"/>
      <x:c r="D13" s="4"/>
      <x:c r="E13" s="4"/>
    </x:row>
    <x:row r="14" ht="12" customHeight="1">
      <x:c r="A14" s="4"/>
      <x:c r="B14" s="231"/>
      <x:c r="C14" s="233"/>
      <x:c r="D14" s="4"/>
      <x:c r="E14" s="4"/>
    </x:row>
    <x:row r="15" ht="28" customHeight="1">
      <x:c r="A15" s="13" t="str">
        <x:v>Lease liability / commitment</x:v>
      </x:c>
      <x:c r="B15" s="250" t="str">
        <x:v>USD millions</x:v>
      </x:c>
      <x:c r="C15" s="251" t="str">
        <x:v>As of</x:v>
      </x:c>
      <x:c r="D15" s="226" t="str">
        <x:v>Source / filing</x:v>
      </x:c>
      <x:c r="E15" s="14" t="str">
        <x:v>Basis / Unavailable reason</x:v>
      </x:c>
    </x:row>
    <x:row r="16" ht="42" customHeight="1">
      <x:c r="A16" s="25" t="str">
        <x:v>Lease liabilities at latest balance sheet</x:v>
      </x:c>
      <x:c r="B16" s="252" t="str">
        <x:v>Unavailable</x:v>
      </x:c>
      <x:c r="C16" s="235" t="d">
        <x:v>2026-06-30T00:00:00.000Z</x:v>
      </x:c>
      <x:c r="D16" s="212" t="str">
        <x:v>Checked 10-Q review</x:v>
      </x:c>
      <x:c r="E16" s="16" t="str">
        <x:v>No lease liability amounts established in this 10-Q. Older amounts below are not substituted.</x:v>
      </x:c>
    </x:row>
    <x:row r="17" ht="42" customHeight="1">
      <x:c r="A17" s="25" t="str">
        <x:v>Operating lease liabilities — current</x:v>
      </x:c>
      <x:c r="B17" s="248" t="n">
        <x:f>IF(ISNUMBER('Data'!B132),'Data'!B132,NA())</x:f>
        <x:v>13000000</x:v>
      </x:c>
      <x:c r="C17" s="235" t="d">
        <x:v>2025-12-31T00:00:00.000Z</x:v>
      </x:c>
      <x:c r="D17" s="212" t="str">
        <x:v>10-K lease note, pp. 122–123; filed 2026-02-27</x:v>
      </x:c>
      <x:c r="E17" s="16" t="str">
        <x:v>Recognized lease liability; excluded from baseline borrowing.</x:v>
      </x:c>
    </x:row>
    <x:row r="18" ht="42" customHeight="1">
      <x:c r="A18" s="25" t="str">
        <x:v>Operating lease liabilities — noncurrent</x:v>
      </x:c>
      <x:c r="B18" s="248" t="n">
        <x:f>IF(ISNUMBER('Data'!B133),'Data'!B133,NA())</x:f>
        <x:v>92000000</x:v>
      </x:c>
      <x:c r="C18" s="235" t="d">
        <x:v>2025-12-31T00:00:00.000Z</x:v>
      </x:c>
      <x:c r="D18" s="212" t="str">
        <x:v>10-K lease note, pp. 122–123; filed 2026-02-27</x:v>
      </x:c>
      <x:c r="E18" s="16" t="str">
        <x:v>Recognized lease liability; excluded from baseline borrowing.</x:v>
      </x:c>
    </x:row>
    <x:row r="19" ht="42" customHeight="1">
      <x:c r="A19" s="272" t="str">
        <x:v>Operating lease liabilities — total</x:v>
      </x:c>
      <x:c r="B19" s="273" t="n">
        <x:f>B17+B18</x:f>
        <x:v>105000000</x:v>
      </x:c>
      <x:c r="C19" s="274" t="d">
        <x:v>2025-12-31T00:00:00.000Z</x:v>
      </x:c>
      <x:c r="D19" s="275" t="str">
        <x:v>10-K lease note, pp. 122–123</x:v>
      </x:c>
      <x:c r="E19" s="276" t="str">
        <x:v>Components match the reported total.</x:v>
      </x:c>
    </x:row>
    <x:row r="20" ht="42" customHeight="1">
      <x:c r="A20" s="25" t="str">
        <x:v>Finance lease liabilities — current</x:v>
      </x:c>
      <x:c r="B20" s="248" t="n">
        <x:f>IF(ISNUMBER('Data'!B135),'Data'!B135,NA())</x:f>
        <x:v>4000000</x:v>
      </x:c>
      <x:c r="C20" s="235" t="d">
        <x:v>2025-12-31T00:00:00.000Z</x:v>
      </x:c>
      <x:c r="D20" s="212" t="str">
        <x:v>10-K lease note, pp. 122–123; filed 2026-02-27</x:v>
      </x:c>
      <x:c r="E20" s="16" t="str">
        <x:v>Recognized lease liability; excluded from baseline borrowing.</x:v>
      </x:c>
    </x:row>
    <x:row r="21" ht="42" customHeight="1">
      <x:c r="A21" s="25" t="str">
        <x:v>Finance lease liabilities — noncurrent</x:v>
      </x:c>
      <x:c r="B21" s="248" t="n">
        <x:f>IF(ISNUMBER('Data'!B136),'Data'!B136,NA())</x:f>
        <x:v>218000000</x:v>
      </x:c>
      <x:c r="C21" s="235" t="d">
        <x:v>2025-12-31T00:00:00.000Z</x:v>
      </x:c>
      <x:c r="D21" s="212" t="str">
        <x:v>10-K lease note, pp. 122–123; filed 2026-02-27</x:v>
      </x:c>
      <x:c r="E21" s="16" t="str">
        <x:v>Recognized lease liability; excluded from baseline borrowing.</x:v>
      </x:c>
    </x:row>
    <x:row r="22" ht="42" customHeight="1">
      <x:c r="A22" s="263" t="str">
        <x:v>Finance lease liabilities — total</x:v>
      </x:c>
      <x:c r="B22" s="264" t="n">
        <x:f>B20+B21</x:f>
        <x:v>222000000</x:v>
      </x:c>
      <x:c r="C22" s="265" t="d">
        <x:v>2025-12-31T00:00:00.000Z</x:v>
      </x:c>
      <x:c r="D22" s="266" t="str">
        <x:v>10-K lease note, pp. 122–123</x:v>
      </x:c>
      <x:c r="E22" s="267" t="str">
        <x:v>Components match the reported total.</x:v>
      </x:c>
    </x:row>
    <x:row r="23" ht="12" customHeight="1">
      <x:c r="A23" s="4"/>
      <x:c r="B23" s="231"/>
      <x:c r="C23" s="233"/>
      <x:c r="D23" s="4"/>
      <x:c r="E23" s="4"/>
    </x:row>
    <x:row r="24" ht="54" customHeight="1">
      <x:c r="A24" s="254" t="str">
        <x:v>Leases not yet commenced</x:v>
      </x:c>
      <x:c r="B24" s="255" t="str">
        <x:v>Unavailable</x:v>
      </x:c>
      <x:c r="C24" s="256" t="d">
        <x:v>2026-06-30T00:00:00.000Z</x:v>
      </x:c>
      <x:c r="D24" s="257" t="str">
        <x:v>Saved pilot evidence; 10-Q review</x:v>
      </x:c>
      <x:c r="E24" s="25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9" t="str">
        <x:v>Vistra Corp.</x:v>
      </x:c>
    </x:row>
    <x:row r="3">
      <x:c r="A3" s="277" t="str">
        <x:v>Balance sheet 2026-06-30. TTM 2025-07-01 to 2026-06-30. USD millions unless x or %.</x:v>
      </x:c>
    </x:row>
    <x:row r="5">
      <x:c r="A5" s="13" t="str">
        <x:v>Measure</x:v>
      </x:c>
      <x:c r="B5" s="226" t="str">
        <x:v>Value (USD millions / x / %)</x:v>
      </x:c>
      <x:c r="C5" s="226" t="str">
        <x:v>Period end</x:v>
      </x:c>
      <x:c r="D5" s="14" t="str">
        <x:v>Formula / basis / limitation</x:v>
      </x:c>
    </x:row>
    <x:row r="6" ht="50" customHeight="1">
      <x:c r="A6" s="25" t="str">
        <x:v>Cash and cash equivalents</x:v>
      </x:c>
      <x:c r="B6" s="248" t="n">
        <x:f>IF(ISNUMBER('Data'!B142),'Data'!B142,NA())</x:f>
        <x:v>435000000</x:v>
      </x:c>
      <x:c r="C6" s="235" t="d">
        <x:v>2026-06-30T00:00:00.000Z</x:v>
      </x:c>
      <x:c r="D6" s="299" t="str">
        <x:v>Cash and cash equivalents excluding restricted cash. Investments are not substituted.</x:v>
      </x:c>
    </x:row>
    <x:row r="7" ht="50" customHeight="1">
      <x:c r="A7" s="272" t="str">
        <x:v>Baseline gross debt</x:v>
      </x:c>
      <x:c r="B7" s="298" t="n">
        <x:f>IF(AND(IF(ISNUMBER('Data'!B143),'Data'!B143,NA())&gt;=0,IF(ISNUMBER('Data'!B144),'Data'!B144,NA())&gt;=0,IF(ISNUMBER('Data'!B145),'Data'!B145,NA())&gt;=0,IF(ISNUMBER('Data'!B146),'Data'!B146,NA())&gt;=0),IF(ISNUMBER('Data'!B143),'Data'!B143,NA())+IF(ISNUMBER('Data'!B144),'Data'!B144,NA())+IF(ISNUMBER('Data'!B145),'Data'!B145,NA())+IF(ISNUMBER('Data'!B146),'Data'!B146,NA()),NA())</x:f>
        <x:v>19895000000</x:v>
      </x:c>
      <x:c r="C7" s="274" t="d">
        <x:v>2026-06-30T00:00:00.000Z</x:v>
      </x:c>
      <x:c r="D7" s="300" t="str">
        <x:v>Carrying amount of borrowing. Operating/finance leases and commitments are excluded. </x:v>
      </x:c>
    </x:row>
    <x:row r="8" ht="50" customHeight="1">
      <x:c r="A8" s="272" t="str">
        <x:v>Net debt</x:v>
      </x:c>
      <x:c r="B8" s="273" t="n">
        <x:f>B7-B6</x:f>
        <x:v>19460000000</x:v>
      </x:c>
      <x:c r="C8" s="274" t="d">
        <x:v>2026-06-30T00:00:00.000Z</x:v>
      </x:c>
      <x:c r="D8" s="300" t="str">
        <x:v>Baseline borrowing less cash excluding restricted cash. Same date and filing. Negative net debt is retained.</x:v>
      </x:c>
    </x:row>
    <x:row r="9" ht="53" customHeight="1">
      <x:c r="A9" s="25" t="str">
        <x:v>Current ratio</x:v>
      </x:c>
      <x:c r="B9" s="294" t="n">
        <x:f>IF(IF(ISNUMBER('Data'!B147),'Data'!B147,NA())&gt;0,IF(ISNUMBER('Data'!B148),'Data'!B148,NA())/IF(ISNUMBER('Data'!B147),'Data'!B147,NA()),NA())</x:f>
        <x:v>0.9733825897508762</x:v>
      </x:c>
      <x:c r="C9" s="235" t="d">
        <x:v>2026-06-30T00:00:00.000Z</x:v>
      </x:c>
      <x:c r="D9" s="299" t="str">
        <x:v>Total current assets / total current liabilities from one balance sheet. Liabilities include more than borrowing; assets include more than cash.</x:v>
      </x:c>
    </x:row>
    <x:row r="10" ht="50" customHeight="1">
      <x:c r="A10" s="25" t="str">
        <x:v>Operating cash flow</x:v>
      </x:c>
      <x:c r="B10" s="248" t="n">
        <x:f>(1*IF(ISNUMBER('Data'!B149),'Data'!B149,NA()))+(1*IF(ISNUMBER('Data'!B150),'Data'!B150,NA()))+(-1*IF(ISNUMBER('Data'!B151),'Data'!B151,NA()))</x:f>
        <x:v>5121000000</x:v>
      </x:c>
      <x:c r="C10" s="235" t="d">
        <x:v>2026-06-30T00:00:00.000Z</x:v>
      </x:c>
      <x:c r="D10" s="299" t="str">
        <x:v>Reported historical OCF; recurrence is not established. Uses FY + current YTD - prior YTD.</x:v>
      </x:c>
    </x:row>
    <x:row r="11" ht="53" customHeight="1">
      <x:c r="A11" s="25" t="str">
        <x:v>Capital expenditures, including nuclear fuel and LTSA prepayments</x:v>
      </x:c>
      <x:c r="B11" s="248" t="n">
        <x:f>(1*IF(ISNUMBER('Data'!B152),'Data'!B152,NA()))+(1*IF(ISNUMBER('Data'!B153),'Data'!B153,NA()))+(-1*IF(ISNUMBER('Data'!B154),'Data'!B154,NA()))</x:f>
        <x:v>2866000000</x:v>
      </x:c>
      <x:c r="C11" s="235" t="d">
        <x:v>2026-06-30T00:00:00.000Z</x:v>
      </x:c>
      <x:c r="D11" s="299" t="str">
        <x:v>The reported capex line includes nuclear fuel purchases and long-term service agreement (LTSA) prepayments. It is used as reported; acquisitions and other investing cash flows are excluded.</x:v>
      </x:c>
    </x:row>
    <x:row r="12" ht="50" customHeight="1">
      <x:c r="A12" s="272" t="str">
        <x:v>Free cash flow</x:v>
      </x:c>
      <x:c r="B12" s="273" t="n">
        <x:f>B10-B11</x:f>
        <x:v>2255000000</x:v>
      </x:c>
      <x:c r="C12" s="274" t="d">
        <x:v>2026-06-30T00:00:00.000Z</x:v>
      </x:c>
      <x:c r="D12" s="300" t="str">
        <x:v>OCF less reported capital spending. Uses the spending basis above; excludes acquisitions, dividends and other cash uses.</x:v>
      </x:c>
    </x:row>
    <x:row r="13" ht="50" customHeight="1">
      <x:c r="A13" s="25" t="str">
        <x:v>Operating cash flow / debt</x:v>
      </x:c>
      <x:c r="B13" s="295" t="n">
        <x:f>IF(B7&gt;0,B10/B7,NA())</x:f>
        <x:v>0.25740135712490575</x:v>
      </x:c>
      <x:c r="C13" s="235" t="d">
        <x:v>2026-06-30T00:00:00.000Z</x:v>
      </x:c>
      <x:c r="D13" s="299" t="str">
        <x:v>Historical TTM OCF / period-end baseline borrowing, not average debt or repayment coverage. The reported OCF basis above is retained.</x:v>
      </x:c>
    </x:row>
    <x:row r="14" ht="50" customHeight="1">
      <x:c r="A14" s="25" t="str">
        <x:v>Free cash flow / debt</x:v>
      </x:c>
      <x:c r="B14" s="295" t="n">
        <x:f>IF(B7&gt;0,B12/B7,NA())</x:f>
        <x:v>0.11334506157325962</x:v>
      </x:c>
      <x:c r="C14" s="235" t="d">
        <x:v>2026-06-30T00:00:00.000Z</x:v>
      </x:c>
      <x:c r="D14" s="299" t="str">
        <x:v>Historical TTM FCF / period-end baseline borrowing. Uses the spending basis above; not repayment coverage.</x:v>
      </x:c>
    </x:row>
    <x:row r="15" ht="92" customHeight="1">
      <x:c r="A15" s="26" t="str">
        <x:v>Historical interest coverage</x:v>
      </x:c>
      <x:c r="B15" s="296" t="n">
        <x:f>'Cash review'!B79</x:f>
        <x:v>3.189794091316025</x:v>
      </x:c>
      <x:c r="C15" s="237" t="d">
        <x:v>2026-06-30T00:00:00.000Z</x:v>
      </x:c>
      <x:c r="D15" s="30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13" t="str">
        <x:v>Method</x:v>
      </x:c>
      <x:c r="B17" s="226"/>
      <x:c r="C17" s="226"/>
      <x:c r="D17" s="14" t="str">
        <x:v>Explanation</x:v>
      </x:c>
    </x:row>
    <x:row r="18" ht="60" customHeight="1">
      <x:c r="A18" s="25" t="str">
        <x:v>Periods</x:v>
      </x:c>
      <x:c r="B18" s="212"/>
      <x:c r="C18" s="212"/>
      <x:c r="D18" s="16" t="str">
        <x:v>All cash-flow and interest ratios use the TTM above. FY + current YTD − prior YTD. Balance-sheet denominators use the period end, not average debt.</x:v>
      </x:c>
    </x:row>
    <x:row r="19" ht="145" customHeight="1">
      <x:c r="A19" s="25" t="str">
        <x:v>Historical interest basis</x:v>
      </x:c>
      <x:c r="B19" s="212"/>
      <x:c r="C19" s="212"/>
      <x:c r="D19" s="16"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25" t="str">
        <x:v>Recalculation</x:v>
      </x:c>
      <x:c r="B20" s="212"/>
      <x:c r="C20" s="212"/>
      <x:c r="D20" s="16" t="str">
        <x:v>The historical interest ratio links to its existing detailed build. Editing source inputs updates formulas; the checked narrative requires a new review.</x:v>
      </x:c>
    </x:row>
    <x:row r="21" ht="72" customHeight="1">
      <x:c r="A21" s="26" t="str">
        <x:v>Interpretation</x:v>
      </x:c>
      <x:c r="B21" s="213"/>
      <x:c r="C21" s="213"/>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Vistra Corp.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26" t="str">
        <x:v>As of / FY ended 2025-12-31</x:v>
      </x:c>
      <x:c r="C5" s="226" t="str">
        <x:v>As of / TTM ended 2026-06-30</x:v>
      </x:c>
      <x:c r="D5" s="14" t="str">
        <x:v>Basis / limits</x:v>
      </x:c>
    </x:row>
    <x:row r="6" ht="45" customHeight="1">
      <x:c r="A6" s="25" t="str">
        <x:v>Cash and cash equivalents</x:v>
      </x:c>
      <x:c r="B6" s="248" t="n">
        <x:f>IF(ISNUMBER('Data'!B158),'Data'!B158,NA())</x:f>
        <x:v>785000000</x:v>
      </x:c>
      <x:c r="C6" s="248" t="n">
        <x:f>'Debt and liquidity'!B6</x:f>
        <x:v>435000000</x:v>
      </x:c>
      <x:c r="D6" s="16" t="str">
        <x:v>Cash and cash equivalents excluding restricted cash. Investments are not substituted.</x:v>
      </x:c>
    </x:row>
    <x:row r="7" ht="49" customHeight="1">
      <x:c r="A7" s="25" t="str">
        <x:v>Baseline gross debt</x:v>
      </x:c>
      <x:c r="B7" s="253" t="str">
        <x:v>Unavailable</x:v>
      </x:c>
      <x:c r="C7" s="248" t="n">
        <x:f>'Debt and liquidity'!B7</x:f>
        <x:v>19895000000</x:v>
      </x:c>
      <x:c r="D7" s="16" t="str">
        <x:v>presentation not checked for this filing: 10-K accession 0001692819-26-000006 is not among the filings reviewed in docs/pilot_evidence_vistra.md, so its components are shown for review but not added</x:v>
      </x:c>
    </x:row>
    <x:row r="8" ht="49" customHeight="1">
      <x:c r="A8" s="25" t="str">
        <x:v>Net debt</x:v>
      </x:c>
      <x:c r="B8" s="253" t="str">
        <x:v>Unavailable</x:v>
      </x:c>
      <x:c r="C8" s="248" t="n">
        <x:f>'Debt and liquidity'!B8</x:f>
        <x:v>19460000000</x:v>
      </x:c>
      <x:c r="D8" s="16" t="str">
        <x:v>presentation not checked for this filing: 10-K accession 0001692819-26-000006 is not among the filings reviewed in docs/pilot_evidence_vistra.md, so its components are shown for review but not added</x:v>
      </x:c>
    </x:row>
    <x:row r="9" ht="49" customHeight="1">
      <x:c r="A9" s="25" t="str">
        <x:v>Current ratio</x:v>
      </x:c>
      <x:c r="B9" s="294" t="n">
        <x:f>IF(IF(ISNUMBER('Data'!B160),'Data'!B160,NA())&gt;0,IF(ISNUMBER('Data'!B159),'Data'!B159,NA())/IF(ISNUMBER('Data'!B160),'Data'!B160,NA()),NA())</x:f>
        <x:v>0.7769595395293719</x:v>
      </x:c>
      <x:c r="C9" s="294" t="n">
        <x:f>'Debt and liquidity'!B9</x:f>
        <x:v>0.9733825897508762</x:v>
      </x:c>
      <x:c r="D9" s="16" t="str">
        <x:v>Total current assets / total current liabilities from one balance sheet. Liabilities include more than borrowing; assets include more than cash.</x:v>
      </x:c>
    </x:row>
    <x:row r="10" ht="45" customHeight="1">
      <x:c r="A10" s="25" t="str">
        <x:v>Operating cash flow</x:v>
      </x:c>
      <x:c r="B10" s="248" t="n">
        <x:f>IF(ISNUMBER('Data'!B161),'Data'!B161,NA())</x:f>
        <x:v>4070000000</x:v>
      </x:c>
      <x:c r="C10" s="248" t="n">
        <x:f>'Debt and liquidity'!B10</x:f>
        <x:v>5121000000</x:v>
      </x:c>
      <x:c r="D10" s="16" t="str">
        <x:v>Reported historical OCF; recurrence is not established. Uses FY + current YTD - prior YTD.</x:v>
      </x:c>
    </x:row>
    <x:row r="11" ht="49" customHeight="1">
      <x:c r="A11" s="25" t="str">
        <x:v>Capital expenditures, including nuclear fuel and LTSA prepayments</x:v>
      </x:c>
      <x:c r="B11" s="248" t="n">
        <x:f>IF(ISNUMBER('Data'!B162),'Data'!B162,NA())</x:f>
        <x:v>2752000000</x:v>
      </x:c>
      <x:c r="C11" s="248" t="n">
        <x:f>'Debt and liquidity'!B11</x:f>
        <x:v>2866000000</x:v>
      </x:c>
      <x:c r="D11" s="16" t="str">
        <x:v>The reported capex line includes nuclear fuel purchases and long-term service agreement (LTSA) prepayments. It is used as reported; acquisitions and other investing cash flows are excluded.</x:v>
      </x:c>
    </x:row>
    <x:row r="12" ht="45" customHeight="1">
      <x:c r="A12" s="25" t="str">
        <x:v>Free cash flow</x:v>
      </x:c>
      <x:c r="B12" s="253" t="n">
        <x:f>B10-B11</x:f>
        <x:v>1318000000</x:v>
      </x:c>
      <x:c r="C12" s="248" t="n">
        <x:f>'Debt and liquidity'!B12</x:f>
        <x:v>2255000000</x:v>
      </x:c>
      <x:c r="D12" s="16" t="str">
        <x:v>OCF less reported capital spending. Uses the spending basis above; excludes acquisitions, dividends and other cash uses.</x:v>
      </x:c>
    </x:row>
    <x:row r="13" ht="49" customHeight="1">
      <x:c r="A13" s="25" t="str">
        <x:v>Operating cash flow / debt</x:v>
      </x:c>
      <x:c r="B13" s="295" t="str">
        <x:v>Unavailable</x:v>
      </x:c>
      <x:c r="C13" s="307" t="n">
        <x:f>'Debt and liquidity'!B13</x:f>
        <x:v>0.25740135712490575</x:v>
      </x:c>
      <x:c r="D13" s="16" t="str">
        <x:v>presentation not checked for this filing: 10-K accession 0001692819-26-000006 is not among the filings reviewed in docs/pilot_evidence_vistra.md, so its components are shown for review but not added</x:v>
      </x:c>
    </x:row>
    <x:row r="14" ht="49" customHeight="1">
      <x:c r="A14" s="25" t="str">
        <x:v>Free cash flow / debt</x:v>
      </x:c>
      <x:c r="B14" s="295" t="str">
        <x:v>Unavailable</x:v>
      </x:c>
      <x:c r="C14" s="307" t="n">
        <x:f>'Debt and liquidity'!B14</x:f>
        <x:v>0.11334506157325962</x:v>
      </x:c>
      <x:c r="D14" s="16" t="str">
        <x:v>presentation not checked for this filing: 10-K accession 0001692819-26-000006 is not among the filings reviewed in docs/pilot_evidence_vistra.md, so its components are shown for review but not added</x:v>
      </x:c>
    </x:row>
    <x:row r="15" ht="75" customHeight="1">
      <x:c r="A15" s="26" t="str">
        <x:v>Historical interest coverage</x:v>
      </x:c>
      <x:c r="B15" s="296" t="n">
        <x:f>IF(AND('Cash review'!B57&gt;0,'Cash review'!B65=0),'Cash review'!B56/'Cash review'!B57,NA())</x:f>
        <x:v>1.7217705510388437</x:v>
      </x:c>
      <x:c r="C15" s="296" t="n">
        <x:f>'Debt and liquidity'!B15</x:f>
        <x:v>3.189794091316025</x:v>
      </x:c>
      <x:c r="D15" s="18"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VST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12" t="n">
        <x:f>'Debt and liquidity'!B10</x:f>
        <x:v>5121000000</x:v>
      </x:c>
      <x:c r="C6" s="4"/>
      <x:c r="D6" s="4"/>
      <x:c r="E6" s="2"/>
      <x:c r="F6" s="2"/>
      <x:c r="G6" s="2"/>
      <x:c r="H6" s="2"/>
      <x:c r="I6" s="2"/>
      <x:c r="J6" s="2"/>
      <x:c r="K6" s="2"/>
      <x:c r="L6" s="2"/>
      <x:c r="M6" s="2"/>
      <x:c r="N6" s="2"/>
      <x:c r="O6" s="2"/>
    </x:row>
    <x:row r="7" ht="35" customHeight="1">
      <x:c r="A7" s="25" t="str">
        <x:v>Capital spending</x:v>
      </x:c>
      <x:c r="B7" s="312" t="n">
        <x:f>-'Debt and liquidity'!B11</x:f>
        <x:v>-2866000000</x:v>
      </x:c>
      <x:c r="C7" s="4"/>
      <x:c r="D7" s="4"/>
      <x:c r="E7" s="2"/>
      <x:c r="F7" s="2"/>
      <x:c r="G7" s="2"/>
      <x:c r="H7" s="2"/>
      <x:c r="I7" s="2"/>
      <x:c r="J7" s="2"/>
      <x:c r="K7" s="2"/>
      <x:c r="L7" s="2"/>
      <x:c r="M7" s="2"/>
      <x:c r="N7" s="2"/>
      <x:c r="O7" s="2"/>
    </x:row>
    <x:row r="8" ht="35" customHeight="1">
      <x:c r="A8" s="26" t="str">
        <x:v>Free cash flow</x:v>
      </x:c>
      <x:c r="B8" s="313" t="n">
        <x:f>'Debt and liquidity'!B12</x:f>
        <x:v>2255000000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14" t="str">
        <x:v>Cash and equivalents</x:v>
      </x:c>
      <x:c r="C24" s="4"/>
      <x:c r="D24" s="4"/>
      <x:c r="E24" s="2"/>
      <x:c r="F24" s="2"/>
      <x:c r="G24" s="2"/>
      <x:c r="H24" s="2"/>
      <x:c r="I24" s="2"/>
      <x:c r="J24" s="2"/>
      <x:c r="K24" s="2"/>
      <x:c r="L24" s="2"/>
      <x:c r="M24" s="2"/>
      <x:c r="N24" s="2"/>
      <x:c r="O24" s="2"/>
    </x:row>
    <x:row r="25" ht="35" customHeight="1">
      <x:c r="A25" s="25" t="str">
        <x:v>2025-12-31</x:v>
      </x:c>
      <x:c r="B25" s="312" t="n">
        <x:f>'History'!B6</x:f>
        <x:v>785000000</x:v>
      </x:c>
      <x:c r="C25" s="238"/>
      <x:c r="D25" s="4"/>
      <x:c r="E25" s="2"/>
      <x:c r="F25" s="2"/>
      <x:c r="G25" s="2"/>
      <x:c r="H25" s="2"/>
      <x:c r="I25" s="2"/>
      <x:c r="J25" s="2"/>
      <x:c r="K25" s="2"/>
      <x:c r="L25" s="2"/>
      <x:c r="M25" s="2"/>
      <x:c r="N25" s="2"/>
      <x:c r="O25" s="2"/>
    </x:row>
    <x:row r="26" ht="35" customHeight="1">
      <x:c r="A26" s="26" t="str">
        <x:v>2026-06-30</x:v>
      </x:c>
      <x:c r="B26" s="313" t="n">
        <x:f>'History'!C6</x:f>
        <x:v>435000000</x:v>
      </x:c>
      <x:c r="C26" s="238"/>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Older borrowing is Unavailable, so this chart compares cash only. No zero borrowing value or debt trend is inferred. Cash excludes restricted cash and investments.</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35" customHeight="1">
      <x:c r="A41" s="4"/>
      <x:c r="B41" s="4"/>
      <x:c r="C41" s="4"/>
      <x:c r="D41" s="4"/>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38b80a9403664846"/>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edcbf2737d114a09"/>
</x:worksheet>
</file>

<file path=xl/worksheets/sheet8.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Operations p. 1; interest Note 12 p. 28</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Operations p. 79; interest table p. 121</x:v>
      </x:c>
      <x:c r="N123" s="216" t="str">
        <x:v>https://www.sec.gov/Archives/edgar/data/1692819/000169281926000006/vistra-20251231.htm</x:v>
      </x:c>
    </x:row>
    <x:row r="126" ht="78" customHeight="1">
      <x:c r="A126" s="13" t="str">
        <x:v>Input</x:v>
      </x:c>
      <x:c r="B126" s="226" t="str">
        <x:v>USD, displayed millions</x:v>
      </x:c>
      <x:c r="C126" s="226" t="str">
        <x:v>Description</x:v>
      </x:c>
      <x:c r="D126" s="226" t="str">
        <x:v>Period from</x:v>
      </x:c>
      <x:c r="E126" s="226" t="str">
        <x:v>Period through</x:v>
      </x:c>
      <x:c r="F126" s="226" t="str">
        <x:v>Form</x:v>
      </x:c>
      <x:c r="G126" s="226" t="str">
        <x:v>Filed</x:v>
      </x:c>
      <x:c r="H126" s="226" t="str">
        <x:v>Accession</x:v>
      </x:c>
      <x:c r="I126" s="226" t="str">
        <x:v>Tag</x:v>
      </x:c>
      <x:c r="J126" s="226" t="str">
        <x:v>Context</x:v>
      </x:c>
      <x:c r="K126" s="226" t="str">
        <x:v>Dimensions</x:v>
      </x:c>
      <x:c r="L126" s="226" t="str">
        <x:v>Scale</x:v>
      </x:c>
      <x:c r="M126" s="226" t="str">
        <x:v>Decimals</x:v>
      </x:c>
      <x:c r="N126" s="226" t="str">
        <x:v>Source</x:v>
      </x:c>
      <x:c r="O126" s="226" t="str">
        <x:v>Location</x:v>
      </x:c>
      <x:c r="P126" s="226" t="str">
        <x:v>Reason if unavailable</x:v>
      </x:c>
      <x:c r="Q126" s="226" t="str">
        <x:v>Reviewed source SHA256</x:v>
      </x:c>
      <x:c r="R126" s="14" t="str">
        <x:v>Unit and selection rule</x:v>
      </x:c>
    </x:row>
    <x:row r="127" ht="78" customHeight="1">
      <x:c r="A127" s="25" t="str">
        <x:v>Long-term debt, current portion</x:v>
      </x:c>
      <x:c r="B127" s="234" t="n">
        <x:v>1876000000</x:v>
      </x:c>
      <x:c r="C127" s="212" t="str">
        <x:v>Long-term debt, current portion</x:v>
      </x:c>
      <x:c r="D127" s="212"/>
      <x:c r="E127" s="235" t="d">
        <x:v>2026-06-30T00:00:00.000Z</x:v>
      </x:c>
      <x:c r="F127" s="212" t="str">
        <x:v>10-Q</x:v>
      </x:c>
      <x:c r="G127" s="235" t="d">
        <x:v>2026-08-10T00:00:00.000Z</x:v>
      </x:c>
      <x:c r="H127" s="212" t="str">
        <x:v>0001692819-26-000019</x:v>
      </x:c>
      <x:c r="I127" s="212" t="str">
        <x:v>us-gaap:LongTermDebtAndCapitalLeaseObligationsCurrent</x:v>
      </x:c>
      <x:c r="J127" s="212"/>
      <x:c r="K127" s="212" t="str">
        <x:v>[]</x:v>
      </x:c>
      <x:c r="L127" s="212"/>
      <x:c r="M127" s="212"/>
      <x:c r="N127" s="212" t="str">
        <x:v>https://www.sec.gov/Archives/edgar/data/1692819/000169281926000019/vistra-20260630.htm</x:v>
      </x:c>
      <x:c r="O127" s="212" t="str">
        <x:v>10-Q balance sheet, p. 2; Note 12, p. 20</x:v>
      </x:c>
      <x:c r="P127" s="212" t="str"/>
      <x:c r="Q127" s="212" t="str"/>
      <x:c r="R127" s="16" t="str">
        <x:v>USD; exact checked instant</x:v>
      </x:c>
    </x:row>
    <x:row r="128" ht="78" customHeight="1">
      <x:c r="A128" s="25" t="str">
        <x:v>Long-term debt, noncurrent</x:v>
      </x:c>
      <x:c r="B128" s="234" t="n">
        <x:v>17719000000</x:v>
      </x:c>
      <x:c r="C128" s="212" t="str">
        <x:v>Long-term debt, noncurrent</x:v>
      </x:c>
      <x:c r="D128" s="212"/>
      <x:c r="E128" s="235" t="d">
        <x:v>2026-06-30T00:00:00.000Z</x:v>
      </x:c>
      <x:c r="F128" s="212" t="str">
        <x:v>10-Q</x:v>
      </x:c>
      <x:c r="G128" s="235" t="d">
        <x:v>2026-08-10T00:00:00.000Z</x:v>
      </x:c>
      <x:c r="H128" s="212" t="str">
        <x:v>0001692819-26-000019</x:v>
      </x:c>
      <x:c r="I128" s="212" t="str">
        <x:v>us-gaap:LongTermDebtAndCapitalLeaseObligations</x:v>
      </x:c>
      <x:c r="J128" s="212"/>
      <x:c r="K128" s="212" t="str">
        <x:v>[]</x:v>
      </x:c>
      <x:c r="L128" s="212"/>
      <x:c r="M128" s="212"/>
      <x:c r="N128" s="212" t="str">
        <x:v>https://www.sec.gov/Archives/edgar/data/1692819/000169281926000019/vistra-20260630.htm</x:v>
      </x:c>
      <x:c r="O128" s="212" t="str">
        <x:v>10-Q balance sheet, p. 2; Note 12, p. 20</x:v>
      </x:c>
      <x:c r="P128" s="212" t="str"/>
      <x:c r="Q128" s="212" t="str"/>
      <x:c r="R128" s="16" t="str">
        <x:v>USD; exact checked instant</x:v>
      </x:c>
    </x:row>
    <x:row r="129" ht="78" customHeight="1">
      <x:c r="A129" s="25" t="str">
        <x:v>Short-term borrowings</x:v>
      </x:c>
      <x:c r="B129" s="234" t="n">
        <x:v>0</x:v>
      </x:c>
      <x:c r="C129" s="212" t="str">
        <x:v>Short-term borrowings</x:v>
      </x:c>
      <x:c r="D129" s="212"/>
      <x:c r="E129" s="235" t="d">
        <x:v>2026-06-30T00:00:00.000Z</x:v>
      </x:c>
      <x:c r="F129" s="212" t="str">
        <x:v>10-Q</x:v>
      </x:c>
      <x:c r="G129" s="235" t="d">
        <x:v>2026-08-10T00:00:00.000Z</x:v>
      </x:c>
      <x:c r="H129" s="212" t="str">
        <x:v>0001692819-26-000019</x:v>
      </x:c>
      <x:c r="I129" s="212" t="str">
        <x:v>us-gaap:ShortTermBorrowings</x:v>
      </x:c>
      <x:c r="J129" s="212"/>
      <x:c r="K129" s="212" t="str">
        <x:v>[]</x:v>
      </x:c>
      <x:c r="L129" s="212"/>
      <x:c r="M129" s="212"/>
      <x:c r="N129" s="212" t="str">
        <x:v>https://www.sec.gov/Archives/edgar/data/1692819/000169281926000019/vistra-20260630.htm</x:v>
      </x:c>
      <x:c r="O129" s="212" t="str">
        <x:v>10-Q balance sheet, p. 2; Note 12, p. 20</x:v>
      </x:c>
      <x:c r="P129" s="212" t="str"/>
      <x:c r="Q129" s="212" t="str"/>
      <x:c r="R129" s="16" t="str">
        <x:v>USD; exact checked instant</x:v>
      </x:c>
    </x:row>
    <x:row r="130" ht="78" customHeight="1">
      <x:c r="A130" s="25" t="str">
        <x:v>Accounts receivable financing</x:v>
      </x:c>
      <x:c r="B130" s="234" t="n">
        <x:v>300000000</x:v>
      </x:c>
      <x:c r="C130" s="212" t="str">
        <x:v>Accounts receivable financing</x:v>
      </x:c>
      <x:c r="D130" s="212"/>
      <x:c r="E130" s="235" t="d">
        <x:v>2026-06-30T00:00:00.000Z</x:v>
      </x:c>
      <x:c r="F130" s="212" t="str">
        <x:v>10-Q</x:v>
      </x:c>
      <x:c r="G130" s="235" t="d">
        <x:v>2026-08-10T00:00:00.000Z</x:v>
      </x:c>
      <x:c r="H130" s="212" t="str">
        <x:v>0001692819-26-000019</x:v>
      </x:c>
      <x:c r="I130" s="212" t="str">
        <x:v>vistra:AccountsReceivableSecuritizationProgramAmountsBorrowed</x:v>
      </x:c>
      <x:c r="J130" s="212" t="str">
        <x:v>c-8</x:v>
      </x:c>
      <x:c r="K130" s="212" t="str">
        <x:v>[]</x:v>
      </x:c>
      <x:c r="L130" s="212" t="n">
        <x:v>6</x:v>
      </x:c>
      <x:c r="M130" s="212" t="str">
        <x:v>-6</x:v>
      </x:c>
      <x:c r="N130" s="212" t="str">
        <x:v>https://www.sec.gov/Archives/edgar/data/1692819/000169281926000019/vistra-20260630.htm</x:v>
      </x:c>
      <x:c r="O130" s="212" t="str">
        <x:v>10-Q balance sheet, p. 2; Note 12, p. 20</x:v>
      </x:c>
      <x:c r="P130" s="212" t="str"/>
      <x:c r="Q130" s="212" t="str"/>
      <x:c r="R130" s="16" t="str">
        <x:v>USD; exact checked instant</x:v>
      </x:c>
    </x:row>
    <x:row r="131" ht="78" customHeight="1">
      <x:c r="A131" s="25" t="str">
        <x:v>Latest-date lease liabilities — Unavailable</x:v>
      </x:c>
      <x:c r="B131" s="234"/>
      <x:c r="C131" s="212" t="str">
        <x:v>Latest-date lease liabilities — Unavailable</x:v>
      </x:c>
      <x:c r="D131" s="212"/>
      <x:c r="E131" s="235" t="d">
        <x:v>2026-06-30T00:00:00.000Z</x:v>
      </x:c>
      <x:c r="F131" s="212" t="str">
        <x:v>10-Q</x:v>
      </x:c>
      <x:c r="G131" s="235" t="d">
        <x:v>2026-08-10T00:00:00.000Z</x:v>
      </x:c>
      <x:c r="H131" s="212" t="str">
        <x:v>0001692819-26-000019</x:v>
      </x:c>
      <x:c r="I131" s="212"/>
      <x:c r="J131" s="212"/>
      <x:c r="K131" s="212" t="str">
        <x:v>[]</x:v>
      </x:c>
      <x:c r="L131" s="212"/>
      <x:c r="M131" s="212"/>
      <x:c r="N131" s="212" t="str">
        <x:v>https://www.sec.gov/Archives/edgar/data/1692819/000169281926000019/vistra-20260630.htm</x:v>
      </x:c>
      <x:c r="O131" s="212" t="str">
        <x:v>10-Q balance sheet, p. 2; Note 12, p. 20</x:v>
      </x:c>
      <x:c r="P131" s="212" t="str">
        <x:v>Latest-date lease liabilities Unavailable; no checked amount in the 10-Q.</x:v>
      </x:c>
      <x:c r="Q131" s="212" t="str"/>
      <x:c r="R131" s="16" t="str">
        <x:v>Unavailable; no numeric fact established</x:v>
      </x:c>
    </x:row>
    <x:row r="132" ht="78" customHeight="1">
      <x:c r="A132" s="25" t="str">
        <x:v>Operating lease liabilities — current</x:v>
      </x:c>
      <x:c r="B132" s="234" t="n">
        <x:v>13000000</x:v>
      </x:c>
      <x:c r="C132" s="212" t="str">
        <x:v>Operating lease liabilities — current</x:v>
      </x:c>
      <x:c r="D132" s="212"/>
      <x:c r="E132" s="235" t="d">
        <x:v>2025-12-31T00:00:00.000Z</x:v>
      </x:c>
      <x:c r="F132" s="212" t="str">
        <x:v>10-K</x:v>
      </x:c>
      <x:c r="G132" s="235" t="d">
        <x:v>2026-02-27T00:00:00.000Z</x:v>
      </x:c>
      <x:c r="H132" s="212" t="str">
        <x:v>0001692819-26-000006</x:v>
      </x:c>
      <x:c r="I132" s="212" t="str">
        <x:v>us-gaap:OperatingLeaseLiabilityCurrent</x:v>
      </x:c>
      <x:c r="J132" s="212" t="str">
        <x:v>c-7</x:v>
      </x:c>
      <x:c r="K132" s="212" t="str">
        <x:v>[]</x:v>
      </x:c>
      <x:c r="L132" s="212" t="n">
        <x:v>6</x:v>
      </x:c>
      <x:c r="M132" s="212" t="str">
        <x:v>-6</x:v>
      </x:c>
      <x:c r="N132" s="212" t="str">
        <x:v>https://www.sec.gov/Archives/edgar/data/1692819/000169281926000006/vistra-20251231.htm</x:v>
      </x:c>
      <x:c r="O132" s="212" t="str">
        <x:v>10-K lease note, pp. 122–123</x:v>
      </x:c>
      <x:c r="P132" s="212" t="str"/>
      <x:c r="Q132" s="212" t="str">
        <x:v>42e6a0ba0c833ede7d9d452b9f1ea68fbc4cb52035129ab5d5e02916e02822d4</x:v>
      </x:c>
      <x:c r="R132" s="16" t="str">
        <x:v>USD; exact checked instant</x:v>
      </x:c>
    </x:row>
    <x:row r="133" ht="78" customHeight="1">
      <x:c r="A133" s="25" t="str">
        <x:v>Operating lease liabilities — noncurrent</x:v>
      </x:c>
      <x:c r="B133" s="234" t="n">
        <x:v>92000000</x:v>
      </x:c>
      <x:c r="C133" s="212" t="str">
        <x:v>Operating lease liabilities — noncurrent</x:v>
      </x:c>
      <x:c r="D133" s="212"/>
      <x:c r="E133" s="235" t="d">
        <x:v>2025-12-31T00:00:00.000Z</x:v>
      </x:c>
      <x:c r="F133" s="212" t="str">
        <x:v>10-K</x:v>
      </x:c>
      <x:c r="G133" s="235" t="d">
        <x:v>2026-02-27T00:00:00.000Z</x:v>
      </x:c>
      <x:c r="H133" s="212" t="str">
        <x:v>0001692819-26-000006</x:v>
      </x:c>
      <x:c r="I133" s="212" t="str">
        <x:v>us-gaap:OperatingLeaseLiabilityNoncurrent</x:v>
      </x:c>
      <x:c r="J133" s="212" t="str">
        <x:v>c-7</x:v>
      </x:c>
      <x:c r="K133" s="212" t="str">
        <x:v>[]</x:v>
      </x:c>
      <x:c r="L133" s="212" t="n">
        <x:v>6</x:v>
      </x:c>
      <x:c r="M133" s="212" t="str">
        <x:v>-6</x:v>
      </x:c>
      <x:c r="N133" s="212" t="str">
        <x:v>https://www.sec.gov/Archives/edgar/data/1692819/000169281926000006/vistra-20251231.htm</x:v>
      </x:c>
      <x:c r="O133" s="212" t="str">
        <x:v>10-K lease note, pp. 122–123</x:v>
      </x:c>
      <x:c r="P133" s="212" t="str"/>
      <x:c r="Q133" s="212" t="str">
        <x:v>42e6a0ba0c833ede7d9d452b9f1ea68fbc4cb52035129ab5d5e02916e02822d4</x:v>
      </x:c>
      <x:c r="R133" s="16" t="str">
        <x:v>USD; exact checked instant</x:v>
      </x:c>
    </x:row>
    <x:row r="134" ht="78" customHeight="1">
      <x:c r="A134" s="25" t="str">
        <x:v>Operating lease liabilities — reported total control</x:v>
      </x:c>
      <x:c r="B134" s="234" t="n">
        <x:v>105000000</x:v>
      </x:c>
      <x:c r="C134" s="212" t="str">
        <x:v>Operating lease liabilities — reported total control</x:v>
      </x:c>
      <x:c r="D134" s="212"/>
      <x:c r="E134" s="235" t="d">
        <x:v>2025-12-31T00:00:00.000Z</x:v>
      </x:c>
      <x:c r="F134" s="212" t="str">
        <x:v>10-K</x:v>
      </x:c>
      <x:c r="G134" s="235" t="d">
        <x:v>2026-02-27T00:00:00.000Z</x:v>
      </x:c>
      <x:c r="H134" s="212" t="str">
        <x:v>0001692819-26-000006</x:v>
      </x:c>
      <x:c r="I134" s="212" t="str">
        <x:v>us-gaap:OperatingLeaseLiability</x:v>
      </x:c>
      <x:c r="J134" s="212" t="str">
        <x:v>c-7</x:v>
      </x:c>
      <x:c r="K134" s="212" t="str">
        <x:v>[]</x:v>
      </x:c>
      <x:c r="L134" s="212" t="n">
        <x:v>6</x:v>
      </x:c>
      <x:c r="M134" s="212" t="str">
        <x:v>-6</x:v>
      </x:c>
      <x:c r="N134" s="212" t="str">
        <x:v>https://www.sec.gov/Archives/edgar/data/1692819/000169281926000006/vistra-20251231.htm</x:v>
      </x:c>
      <x:c r="O134" s="212" t="str">
        <x:v>10-K lease note, pp. 122–123</x:v>
      </x:c>
      <x:c r="P134" s="212" t="str"/>
      <x:c r="Q134" s="212" t="str">
        <x:v>42e6a0ba0c833ede7d9d452b9f1ea68fbc4cb52035129ab5d5e02916e02822d4</x:v>
      </x:c>
      <x:c r="R134" s="16" t="str">
        <x:v>USD; exact checked instant</x:v>
      </x:c>
    </x:row>
    <x:row r="135" ht="78" customHeight="1">
      <x:c r="A135" s="25" t="str">
        <x:v>Finance lease liabilities — current</x:v>
      </x:c>
      <x:c r="B135" s="234" t="n">
        <x:v>4000000</x:v>
      </x:c>
      <x:c r="C135" s="212" t="str">
        <x:v>Finance lease liabilities — current</x:v>
      </x:c>
      <x:c r="D135" s="212"/>
      <x:c r="E135" s="235" t="d">
        <x:v>2025-12-31T00:00:00.000Z</x:v>
      </x:c>
      <x:c r="F135" s="212" t="str">
        <x:v>10-K</x:v>
      </x:c>
      <x:c r="G135" s="235" t="d">
        <x:v>2026-02-27T00:00:00.000Z</x:v>
      </x:c>
      <x:c r="H135" s="212" t="str">
        <x:v>0001692819-26-000006</x:v>
      </x:c>
      <x:c r="I135" s="212" t="str">
        <x:v>us-gaap:FinanceLeaseLiabilityCurrent</x:v>
      </x:c>
      <x:c r="J135" s="212" t="str">
        <x:v>c-7</x:v>
      </x:c>
      <x:c r="K135" s="212" t="str">
        <x:v>[]</x:v>
      </x:c>
      <x:c r="L135" s="212" t="n">
        <x:v>6</x:v>
      </x:c>
      <x:c r="M135" s="212" t="str">
        <x:v>-6</x:v>
      </x:c>
      <x:c r="N135" s="212" t="str">
        <x:v>https://www.sec.gov/Archives/edgar/data/1692819/000169281926000006/vistra-20251231.htm</x:v>
      </x:c>
      <x:c r="O135" s="212" t="str">
        <x:v>10-K lease note, pp. 122–123</x:v>
      </x:c>
      <x:c r="P135" s="212" t="str"/>
      <x:c r="Q135" s="212" t="str">
        <x:v>42e6a0ba0c833ede7d9d452b9f1ea68fbc4cb52035129ab5d5e02916e02822d4</x:v>
      </x:c>
      <x:c r="R135" s="16" t="str">
        <x:v>USD; exact checked instant</x:v>
      </x:c>
    </x:row>
    <x:row r="136" ht="78" customHeight="1">
      <x:c r="A136" s="25" t="str">
        <x:v>Finance lease liabilities — noncurrent</x:v>
      </x:c>
      <x:c r="B136" s="234" t="n">
        <x:v>218000000</x:v>
      </x:c>
      <x:c r="C136" s="212" t="str">
        <x:v>Finance lease liabilities — noncurrent</x:v>
      </x:c>
      <x:c r="D136" s="212"/>
      <x:c r="E136" s="235" t="d">
        <x:v>2025-12-31T00:00:00.000Z</x:v>
      </x:c>
      <x:c r="F136" s="212" t="str">
        <x:v>10-K</x:v>
      </x:c>
      <x:c r="G136" s="235" t="d">
        <x:v>2026-02-27T00:00:00.000Z</x:v>
      </x:c>
      <x:c r="H136" s="212" t="str">
        <x:v>0001692819-26-000006</x:v>
      </x:c>
      <x:c r="I136" s="212" t="str">
        <x:v>us-gaap:FinanceLeaseLiabilityNoncurrent</x:v>
      </x:c>
      <x:c r="J136" s="212" t="str">
        <x:v>c-7</x:v>
      </x:c>
      <x:c r="K136" s="212" t="str">
        <x:v>[]</x:v>
      </x:c>
      <x:c r="L136" s="212" t="n">
        <x:v>6</x:v>
      </x:c>
      <x:c r="M136" s="212" t="str">
        <x:v>-6</x:v>
      </x:c>
      <x:c r="N136" s="212" t="str">
        <x:v>https://www.sec.gov/Archives/edgar/data/1692819/000169281926000006/vistra-20251231.htm</x:v>
      </x:c>
      <x:c r="O136" s="212" t="str">
        <x:v>10-K lease note, pp. 122–123</x:v>
      </x:c>
      <x:c r="P136" s="212" t="str"/>
      <x:c r="Q136" s="212" t="str">
        <x:v>42e6a0ba0c833ede7d9d452b9f1ea68fbc4cb52035129ab5d5e02916e02822d4</x:v>
      </x:c>
      <x:c r="R136" s="16" t="str">
        <x:v>USD; exact checked instant</x:v>
      </x:c>
    </x:row>
    <x:row r="137" ht="78" customHeight="1">
      <x:c r="A137" s="25" t="str">
        <x:v>Finance lease liabilities — reported total control</x:v>
      </x:c>
      <x:c r="B137" s="234" t="n">
        <x:v>222000000</x:v>
      </x:c>
      <x:c r="C137" s="212" t="str">
        <x:v>Finance lease liabilities — reported total control</x:v>
      </x:c>
      <x:c r="D137" s="212"/>
      <x:c r="E137" s="235" t="d">
        <x:v>2025-12-31T00:00:00.000Z</x:v>
      </x:c>
      <x:c r="F137" s="212" t="str">
        <x:v>10-K</x:v>
      </x:c>
      <x:c r="G137" s="235" t="d">
        <x:v>2026-02-27T00:00:00.000Z</x:v>
      </x:c>
      <x:c r="H137" s="212" t="str">
        <x:v>0001692819-26-000006</x:v>
      </x:c>
      <x:c r="I137" s="212" t="str">
        <x:v>us-gaap:FinanceLeaseLiability</x:v>
      </x:c>
      <x:c r="J137" s="212" t="str">
        <x:v>c-7</x:v>
      </x:c>
      <x:c r="K137" s="212" t="str">
        <x:v>[]</x:v>
      </x:c>
      <x:c r="L137" s="212" t="n">
        <x:v>6</x:v>
      </x:c>
      <x:c r="M137" s="212" t="str">
        <x:v>-6</x:v>
      </x:c>
      <x:c r="N137" s="212" t="str">
        <x:v>https://www.sec.gov/Archives/edgar/data/1692819/000169281926000006/vistra-20251231.htm</x:v>
      </x:c>
      <x:c r="O137" s="212" t="str">
        <x:v>10-K lease note, pp. 122–123</x:v>
      </x:c>
      <x:c r="P137" s="212" t="str"/>
      <x:c r="Q137" s="212" t="str">
        <x:v>42e6a0ba0c833ede7d9d452b9f1ea68fbc4cb52035129ab5d5e02916e02822d4</x:v>
      </x:c>
      <x:c r="R137" s="16" t="str">
        <x:v>USD; exact checked instant</x:v>
      </x:c>
    </x:row>
    <x:row r="138" ht="78" customHeight="1">
      <x:c r="A138" s="26" t="str">
        <x:v>Leases not yet commenced — Unavailable</x:v>
      </x:c>
      <x:c r="B138" s="236"/>
      <x:c r="C138" s="213" t="str">
        <x:v>Leases not yet commenced — Unavailable</x:v>
      </x:c>
      <x:c r="D138" s="213"/>
      <x:c r="E138" s="237" t="d">
        <x:v>2026-06-30T00:00:00.000Z</x:v>
      </x:c>
      <x:c r="F138" s="213" t="str">
        <x:v>10-Q</x:v>
      </x:c>
      <x:c r="G138" s="237" t="d">
        <x:v>2026-08-10T00:00:00.000Z</x:v>
      </x:c>
      <x:c r="H138" s="213" t="str">
        <x:v>0001692819-26-000019</x:v>
      </x:c>
      <x:c r="I138" s="213"/>
      <x:c r="J138" s="213"/>
      <x:c r="K138" s="213" t="str">
        <x:v>[]</x:v>
      </x:c>
      <x:c r="L138" s="213"/>
      <x:c r="M138" s="213"/>
      <x:c r="N138" s="213" t="str">
        <x:v>https://www.sec.gov/Archives/edgar/data/1692819/000169281926000019/vistra-20260630.htm</x:v>
      </x:c>
      <x:c r="O138" s="213" t="str">
        <x:v>Saved pilot evidence; 10-Q review</x:v>
      </x:c>
      <x:c r="P138" s="213" t="str">
        <x:v>No checked amount for leases not yet commenced is established in the saved pilot evidence. Unavailable does not mean zero.</x:v>
      </x:c>
      <x:c r="Q138" s="213" t="str"/>
      <x:c r="R138" s="18" t="str">
        <x:v>Unavailable; no numeric fact established</x:v>
      </x:c>
    </x:row>
    <x:row r="141" ht="86" customHeight="1">
      <x:c r="A141" s="13" t="str">
        <x:v>Input</x:v>
      </x:c>
      <x:c r="B141" s="226" t="str">
        <x:v>USD, displayed millions</x:v>
      </x:c>
      <x:c r="C141" s="226" t="str">
        <x:v>Description</x:v>
      </x:c>
      <x:c r="D141" s="226" t="str">
        <x:v>Period from</x:v>
      </x:c>
      <x:c r="E141" s="226" t="str">
        <x:v>Period through</x:v>
      </x:c>
      <x:c r="F141" s="226" t="str">
        <x:v>Form</x:v>
      </x:c>
      <x:c r="G141" s="226" t="str">
        <x:v>Filed</x:v>
      </x:c>
      <x:c r="H141" s="226" t="str">
        <x:v>Accession</x:v>
      </x:c>
      <x:c r="I141" s="226" t="str">
        <x:v>Tag</x:v>
      </x:c>
      <x:c r="J141" s="226" t="str">
        <x:v>Context</x:v>
      </x:c>
      <x:c r="K141" s="226" t="str">
        <x:v>Dimensions</x:v>
      </x:c>
      <x:c r="L141" s="226" t="str">
        <x:v>Scale</x:v>
      </x:c>
      <x:c r="M141" s="226" t="str">
        <x:v>Decimals</x:v>
      </x:c>
      <x:c r="N141" s="226" t="str">
        <x:v>Source</x:v>
      </x:c>
      <x:c r="O141" s="226" t="str">
        <x:v>Location</x:v>
      </x:c>
      <x:c r="P141" s="226" t="str">
        <x:v>Reason if unavailable</x:v>
      </x:c>
      <x:c r="Q141" s="226" t="str">
        <x:v>Reviewed source SHA256</x:v>
      </x:c>
      <x:c r="R141" s="14" t="str">
        <x:v>Unit and selection rule</x:v>
      </x:c>
    </x:row>
    <x:row r="142" ht="86" customHeight="1">
      <x:c r="A142" s="25" t="str">
        <x:v>Ratio input: Cash and cash equivalents</x:v>
      </x:c>
      <x:c r="B142" s="234" t="n">
        <x:v>435000000</x:v>
      </x:c>
      <x:c r="C142" s="212" t="str">
        <x:v>Cash and cash equivalents</x:v>
      </x:c>
      <x:c r="D142" s="235"/>
      <x:c r="E142" s="235" t="d">
        <x:v>2026-06-30T00:00:00.000Z</x:v>
      </x:c>
      <x:c r="F142" s="212" t="str">
        <x:v>10-Q</x:v>
      </x:c>
      <x:c r="G142" s="235" t="d">
        <x:v>2026-08-10T00:00:00.000Z</x:v>
      </x:c>
      <x:c r="H142" s="212" t="str">
        <x:v>0001692819-26-000019</x:v>
      </x:c>
      <x:c r="I142" s="212" t="str">
        <x:v>us-gaap:CashAndCashEquivalentsAtCarryingValue</x:v>
      </x:c>
      <x:c r="J142" s="212"/>
      <x:c r="K142" s="212" t="str">
        <x:v>[]</x:v>
      </x:c>
      <x:c r="L142" s="212"/>
      <x:c r="M142" s="212"/>
      <x:c r="N142" s="212" t="str">
        <x:v>https://www.sec.gov/Archives/edgar/data/1692819/000169281926000019/vistra-20260630.htm</x:v>
      </x:c>
      <x:c r="O142" s="212" t="str">
        <x:v>Checked balance sheet / cash-flow statement</x:v>
      </x:c>
      <x:c r="P142" s="212" t="str">
        <x:v>USD instant at the balance-sheet date, from the latest original 10-K or 10-Q itself</x:v>
      </x:c>
      <x:c r="Q142" s="212"/>
      <x:c r="R142" s="16" t="str">
        <x:v>USD</x:v>
      </x:c>
    </x:row>
    <x:row r="143" ht="86" customHeight="1">
      <x:c r="A143" s="25" t="str">
        <x:v>Ratio input: Long-term debt due currently</x:v>
      </x:c>
      <x:c r="B143" s="234" t="n">
        <x:v>1876000000</x:v>
      </x:c>
      <x:c r="C143" s="212" t="str">
        <x:v>Long-term debt due currently</x:v>
      </x:c>
      <x:c r="D143" s="235"/>
      <x:c r="E143" s="235" t="d">
        <x:v>2026-06-30T00:00:00.000Z</x:v>
      </x:c>
      <x:c r="F143" s="212" t="str">
        <x:v>10-Q</x:v>
      </x:c>
      <x:c r="G143" s="235" t="d">
        <x:v>2026-08-10T00:00:00.000Z</x:v>
      </x:c>
      <x:c r="H143" s="212" t="str">
        <x:v>0001692819-26-000019</x:v>
      </x:c>
      <x:c r="I143" s="212" t="str">
        <x:v>us-gaap:LongTermDebtAndCapitalLeaseObligationsCurrent</x:v>
      </x:c>
      <x:c r="J143" s="212"/>
      <x:c r="K143" s="212" t="str">
        <x:v>[]</x:v>
      </x:c>
      <x:c r="L143" s="212"/>
      <x:c r="M143" s="212"/>
      <x:c r="N143" s="212" t="str">
        <x:v>https://www.sec.gov/Archives/edgar/data/1692819/000169281926000019/vistra-20260630.htm</x:v>
      </x:c>
      <x:c r="O143" s="212" t="str">
        <x:v>Checked balance sheet / cash-flow statement</x:v>
      </x:c>
      <x:c r="P143" s="212" t="str">
        <x:v>USD instant at the balance-sheet date, from the latest original 10-K or 10-Q itself</x:v>
      </x:c>
      <x:c r="Q143" s="212"/>
      <x:c r="R143" s="16" t="str">
        <x:v>USD</x:v>
      </x:c>
    </x:row>
    <x:row r="144" ht="86" customHeight="1">
      <x:c r="A144" s="25" t="str">
        <x:v>Ratio input: Long-term debt, less amounts due currently</x:v>
      </x:c>
      <x:c r="B144" s="234" t="n">
        <x:v>17719000000</x:v>
      </x:c>
      <x:c r="C144" s="212" t="str">
        <x:v>Long-term debt, less amounts due currently</x:v>
      </x:c>
      <x:c r="D144" s="235"/>
      <x:c r="E144" s="235" t="d">
        <x:v>2026-06-30T00:00:00.000Z</x:v>
      </x:c>
      <x:c r="F144" s="212" t="str">
        <x:v>10-Q</x:v>
      </x:c>
      <x:c r="G144" s="235" t="d">
        <x:v>2026-08-10T00:00:00.000Z</x:v>
      </x:c>
      <x:c r="H144" s="212" t="str">
        <x:v>0001692819-26-000019</x:v>
      </x:c>
      <x:c r="I144" s="212" t="str">
        <x:v>us-gaap:LongTermDebtAndCapitalLeaseObligations</x:v>
      </x:c>
      <x:c r="J144" s="212"/>
      <x:c r="K144" s="212" t="str">
        <x:v>[]</x:v>
      </x:c>
      <x:c r="L144" s="212"/>
      <x:c r="M144" s="212"/>
      <x:c r="N144" s="212" t="str">
        <x:v>https://www.sec.gov/Archives/edgar/data/1692819/000169281926000019/vistra-20260630.htm</x:v>
      </x:c>
      <x:c r="O144" s="212" t="str">
        <x:v>Checked balance sheet / cash-flow statement</x:v>
      </x:c>
      <x:c r="P144" s="212" t="str">
        <x:v>USD instant at the balance-sheet date, from the latest original 10-K or 10-Q itself</x:v>
      </x:c>
      <x:c r="Q144" s="212"/>
      <x:c r="R144" s="16" t="str">
        <x:v>USD</x:v>
      </x:c>
    </x:row>
    <x:row r="145" ht="86" customHeight="1">
      <x:c r="A145" s="25" t="str">
        <x:v>Ratio input: Short-term borrowings</x:v>
      </x:c>
      <x:c r="B145" s="234" t="n">
        <x:v>0</x:v>
      </x:c>
      <x:c r="C145" s="212" t="str">
        <x:v>Short-term borrowings</x:v>
      </x:c>
      <x:c r="D145" s="235"/>
      <x:c r="E145" s="235" t="d">
        <x:v>2026-06-30T00:00:00.000Z</x:v>
      </x:c>
      <x:c r="F145" s="212" t="str">
        <x:v>10-Q</x:v>
      </x:c>
      <x:c r="G145" s="235" t="d">
        <x:v>2026-08-10T00:00:00.000Z</x:v>
      </x:c>
      <x:c r="H145" s="212" t="str">
        <x:v>0001692819-26-000019</x:v>
      </x:c>
      <x:c r="I145" s="212" t="str">
        <x:v>us-gaap:ShortTermBorrowings</x:v>
      </x:c>
      <x:c r="J145" s="212"/>
      <x:c r="K145" s="212" t="str">
        <x:v>[]</x:v>
      </x:c>
      <x:c r="L145" s="212"/>
      <x:c r="M145" s="212"/>
      <x:c r="N145" s="212" t="str">
        <x:v>https://www.sec.gov/Archives/edgar/data/1692819/000169281926000019/vistra-20260630.htm</x:v>
      </x:c>
      <x:c r="O145" s="212" t="str">
        <x:v>Checked balance sheet / cash-flow statement</x:v>
      </x:c>
      <x:c r="P145" s="212" t="str">
        <x:v>USD instant at the balance-sheet date, from the latest original 10-K or 10-Q itself</x:v>
      </x:c>
      <x:c r="Q145" s="212"/>
      <x:c r="R145" s="16" t="str">
        <x:v>USD</x:v>
      </x:c>
    </x:row>
    <x:row r="146" ht="86" customHeight="1">
      <x:c r="A146" s="25" t="str">
        <x:v>Ratio input: Accounts receivable financing</x:v>
      </x:c>
      <x:c r="B146" s="234" t="n">
        <x:v>300000000</x:v>
      </x:c>
      <x:c r="C146" s="212" t="str">
        <x:v>Accounts receivable financing</x:v>
      </x:c>
      <x:c r="D146" s="235"/>
      <x:c r="E146" s="235" t="d">
        <x:v>2026-06-30T00:00:00.000Z</x:v>
      </x:c>
      <x:c r="F146" s="212" t="str">
        <x:v>10-Q</x:v>
      </x:c>
      <x:c r="G146" s="235" t="d">
        <x:v>2026-08-10T00:00:00.000Z</x:v>
      </x:c>
      <x:c r="H146" s="212" t="str">
        <x:v>0001692819-26-000019</x:v>
      </x:c>
      <x:c r="I146" s="212" t="str">
        <x:v>vistra:AccountsReceivableSecuritizationProgramAmountsBorrowed</x:v>
      </x:c>
      <x:c r="J146" s="212" t="str">
        <x:v>c-8</x:v>
      </x:c>
      <x:c r="K146" s="212" t="str">
        <x:v>[]</x:v>
      </x:c>
      <x:c r="L146" s="212" t="n">
        <x:v>6</x:v>
      </x:c>
      <x:c r="M146" s="212" t="str">
        <x:v>-6</x:v>
      </x:c>
      <x:c r="N146" s="212" t="str">
        <x:v>https://www.sec.gov/Archives/edgar/data/1692819/000169281926000019/vistra-20260630.htm</x:v>
      </x:c>
      <x:c r="O146" s="212" t="str">
        <x:v>Checked balance sheet / cash-flow statement</x:v>
      </x:c>
      <x:c r="P146" s="212" t="str">
        <x:v>USD instant at the balance-sheet date in the checked filing document, no dimensions</x:v>
      </x:c>
      <x:c r="Q146" s="212"/>
      <x:c r="R146" s="16" t="str">
        <x:v>USD</x:v>
      </x:c>
    </x:row>
    <x:row r="147" ht="86" customHeight="1">
      <x:c r="A147" s="25" t="str">
        <x:v>Ratio input: Current liabilities</x:v>
      </x:c>
      <x:c r="B147" s="234" t="n">
        <x:v>10557000000</x:v>
      </x:c>
      <x:c r="C147" s="212" t="str">
        <x:v>Current liabilities</x:v>
      </x:c>
      <x:c r="D147" s="235"/>
      <x:c r="E147" s="235" t="d">
        <x:v>2026-06-30T00:00:00.000Z</x:v>
      </x:c>
      <x:c r="F147" s="212" t="str">
        <x:v>10-Q</x:v>
      </x:c>
      <x:c r="G147" s="235" t="d">
        <x:v>2026-08-10T00:00:00.000Z</x:v>
      </x:c>
      <x:c r="H147" s="212" t="str">
        <x:v>0001692819-26-000019</x:v>
      </x:c>
      <x:c r="I147" s="212" t="str">
        <x:v>us-gaap:LiabilitiesCurrent</x:v>
      </x:c>
      <x:c r="J147" s="212"/>
      <x:c r="K147" s="212" t="str">
        <x:v>[]</x:v>
      </x:c>
      <x:c r="L147" s="212"/>
      <x:c r="M147" s="212"/>
      <x:c r="N147" s="212" t="str">
        <x:v>https://www.sec.gov/Archives/edgar/data/1692819/000169281926000019/vistra-20260630.htm</x:v>
      </x:c>
      <x:c r="O147" s="212" t="str">
        <x:v>Checked balance sheet / cash-flow statement</x:v>
      </x:c>
      <x:c r="P147" s="212" t="str">
        <x:v>USD instant at the balance-sheet date, from the latest original 10-K or 10-Q itself</x:v>
      </x:c>
      <x:c r="Q147" s="212"/>
      <x:c r="R147" s="16" t="str">
        <x:v>USD</x:v>
      </x:c>
    </x:row>
    <x:row r="148" ht="86" customHeight="1">
      <x:c r="A148" s="25" t="str">
        <x:v>Ratio input: Current assets</x:v>
      </x:c>
      <x:c r="B148" s="234" t="n">
        <x:v>10276000000</x:v>
      </x:c>
      <x:c r="C148" s="212" t="str">
        <x:v>Current assets</x:v>
      </x:c>
      <x:c r="D148" s="235"/>
      <x:c r="E148" s="235" t="d">
        <x:v>2026-06-30T00:00:00.000Z</x:v>
      </x:c>
      <x:c r="F148" s="212" t="str">
        <x:v>10-Q</x:v>
      </x:c>
      <x:c r="G148" s="235" t="d">
        <x:v>2026-08-10T00:00:00.000Z</x:v>
      </x:c>
      <x:c r="H148" s="212" t="str">
        <x:v>0001692819-26-000019</x:v>
      </x:c>
      <x:c r="I148" s="212" t="str">
        <x:v>us-gaap:AssetsCurrent</x:v>
      </x:c>
      <x:c r="J148" s="212"/>
      <x:c r="K148" s="212" t="str">
        <x:v>[]</x:v>
      </x:c>
      <x:c r="L148" s="212"/>
      <x:c r="M148" s="212"/>
      <x:c r="N148" s="212" t="str">
        <x:v>https://www.sec.gov/Archives/edgar/data/1692819/000169281926000019/vistra-20260630.htm</x:v>
      </x:c>
      <x:c r="O148" s="212" t="str">
        <x:v>Checked balance sheet / cash-flow statement</x:v>
      </x:c>
      <x:c r="P148" s="212" t="str">
        <x:v>USD instant at the balance-sheet date, from the latest original 10-K or 10-Q itself</x:v>
      </x:c>
      <x:c r="Q148" s="212"/>
      <x:c r="R148" s="16" t="str">
        <x:v>USD</x:v>
      </x:c>
    </x:row>
    <x:row r="149" ht="86" customHeight="1">
      <x:c r="A149" s="25" t="str">
        <x:v>Ratio input: Operating cash flow · fiscal year</x:v>
      </x:c>
      <x:c r="B149" s="234" t="n">
        <x:v>4070000000</x:v>
      </x:c>
      <x:c r="C149" s="212" t="str">
        <x:v>Operating cash flow · fiscal year</x:v>
      </x:c>
      <x:c r="D149" s="235" t="d">
        <x:v>2025-01-01T00:00:00.000Z</x:v>
      </x:c>
      <x:c r="E149" s="235" t="d">
        <x:v>2025-12-31T00:00:00.000Z</x:v>
      </x:c>
      <x:c r="F149" s="212" t="str">
        <x:v>10-K</x:v>
      </x:c>
      <x:c r="G149" s="235" t="d">
        <x:v>2026-02-27T00:00:00.000Z</x:v>
      </x:c>
      <x:c r="H149" s="212" t="str">
        <x:v>0001692819-26-000006</x:v>
      </x:c>
      <x:c r="I149" s="212" t="str">
        <x:v>us-gaap:NetCashProvidedByUsedInOperatingActivities</x:v>
      </x:c>
      <x:c r="J149" s="212" t="str">
        <x:v>c-1</x:v>
      </x:c>
      <x:c r="K149" s="212" t="str">
        <x:v>[]</x:v>
      </x:c>
      <x:c r="L149" s="212" t="n">
        <x:v>6</x:v>
      </x:c>
      <x:c r="M149" s="212" t="str">
        <x:v>-6</x:v>
      </x:c>
      <x:c r="N149" s="212" t="str">
        <x:v>https://www.sec.gov/Archives/edgar/data/1692819/000169281926000006/vistra-20251231.htm</x:v>
      </x:c>
      <x:c r="O149" s="212" t="str">
        <x:v>Checked balance sheet / cash-flow statement</x:v>
      </x:c>
      <x:c r="P149" s="212" t="str">
        <x:v>Exact tag, USD duration, exact start and end dates, no dimensions</x:v>
      </x:c>
      <x:c r="Q149" s="212"/>
      <x:c r="R149" s="16" t="str">
        <x:v>USD</x:v>
      </x:c>
    </x:row>
    <x:row r="150" ht="86" customHeight="1">
      <x:c r="A150" s="25" t="str">
        <x:v>Ratio input: Operating cash flow · current year to date</x:v>
      </x:c>
      <x:c r="B150" s="234" t="n">
        <x:v>2222000000</x:v>
      </x:c>
      <x:c r="C150" s="212" t="str">
        <x:v>Operating cash flow · current year to date</x:v>
      </x:c>
      <x:c r="D150" s="235" t="d">
        <x:v>2026-01-01T00:00:00.000Z</x:v>
      </x:c>
      <x:c r="E150" s="235" t="d">
        <x:v>2026-06-30T00:00:00.000Z</x:v>
      </x:c>
      <x:c r="F150" s="212" t="str">
        <x:v>10-Q</x:v>
      </x:c>
      <x:c r="G150" s="235" t="d">
        <x:v>2026-08-10T00:00:00.000Z</x:v>
      </x:c>
      <x:c r="H150" s="212" t="str">
        <x:v>0001692819-26-000019</x:v>
      </x:c>
      <x:c r="I150" s="212" t="str">
        <x:v>us-gaap:NetCashProvidedByUsedInOperatingActivities</x:v>
      </x:c>
      <x:c r="J150" s="212" t="str">
        <x:v>c-1</x:v>
      </x:c>
      <x:c r="K150" s="212" t="str">
        <x:v>[]</x:v>
      </x:c>
      <x:c r="L150" s="212" t="n">
        <x:v>6</x:v>
      </x:c>
      <x:c r="M150" s="212" t="str">
        <x:v>-6</x:v>
      </x:c>
      <x:c r="N150" s="212" t="str">
        <x:v>https://www.sec.gov/Archives/edgar/data/1692819/000169281926000019/vistra-20260630.htm</x:v>
      </x:c>
      <x:c r="O150" s="212" t="str">
        <x:v>Checked balance sheet / cash-flow statement</x:v>
      </x:c>
      <x:c r="P150" s="212" t="str">
        <x:v>Exact tag, USD duration, exact start and end dates, no dimensions</x:v>
      </x:c>
      <x:c r="Q150" s="212"/>
      <x:c r="R150" s="16" t="str">
        <x:v>USD</x:v>
      </x:c>
    </x:row>
    <x:row r="151" ht="86" customHeight="1">
      <x:c r="A151" s="25" t="str">
        <x:v>Ratio input: Operating cash flow · prior year to date</x:v>
      </x:c>
      <x:c r="B151" s="234" t="n">
        <x:v>1171000000</x:v>
      </x:c>
      <x:c r="C151" s="212" t="str">
        <x:v>Operating cash flow · prior year to date</x:v>
      </x:c>
      <x:c r="D151" s="235" t="d">
        <x:v>2025-01-01T00:00:00.000Z</x:v>
      </x:c>
      <x:c r="E151" s="235" t="d">
        <x:v>2025-06-30T00:00:00.000Z</x:v>
      </x:c>
      <x:c r="F151" s="212" t="str">
        <x:v>10-Q</x:v>
      </x:c>
      <x:c r="G151" s="235" t="d">
        <x:v>2026-08-10T00:00:00.000Z</x:v>
      </x:c>
      <x:c r="H151" s="212" t="str">
        <x:v>0001692819-26-000019</x:v>
      </x:c>
      <x:c r="I151" s="212" t="str">
        <x:v>us-gaap:NetCashProvidedByUsedInOperatingActivities</x:v>
      </x:c>
      <x:c r="J151" s="212" t="str">
        <x:v>c-7</x:v>
      </x:c>
      <x:c r="K151" s="212" t="str">
        <x:v>[]</x:v>
      </x:c>
      <x:c r="L151" s="212" t="n">
        <x:v>6</x:v>
      </x:c>
      <x:c r="M151" s="212" t="str">
        <x:v>-6</x:v>
      </x:c>
      <x:c r="N151" s="212" t="str">
        <x:v>https://www.sec.gov/Archives/edgar/data/1692819/000169281926000019/vistra-20260630.htm</x:v>
      </x:c>
      <x:c r="O151" s="212" t="str">
        <x:v>Checked balance sheet / cash-flow statement</x:v>
      </x:c>
      <x:c r="P151" s="212" t="str">
        <x:v>Exact tag, USD duration, exact start and end dates, no dimensions</x:v>
      </x:c>
      <x:c r="Q151" s="212"/>
      <x:c r="R151" s="16" t="str">
        <x:v>USD</x:v>
      </x:c>
    </x:row>
    <x:row r="152" ht="86" customHeight="1">
      <x:c r="A152" s="25" t="str">
        <x:v>Ratio input: Capital expenditures, including nuclear fuel and LTSA prepayments · fiscal year</x:v>
      </x:c>
      <x:c r="B152" s="234" t="n">
        <x:v>2752000000</x:v>
      </x:c>
      <x:c r="C152" s="212" t="str">
        <x:v>Capital expenditures, including nuclear fuel and LTSA prepayments · fiscal year</x:v>
      </x:c>
      <x:c r="D152" s="235" t="d">
        <x:v>2025-01-01T00:00:00.000Z</x:v>
      </x:c>
      <x:c r="E152" s="235" t="d">
        <x:v>2025-12-31T00:00:00.000Z</x:v>
      </x:c>
      <x:c r="F152" s="212" t="str">
        <x:v>10-K</x:v>
      </x:c>
      <x:c r="G152" s="235" t="d">
        <x:v>2026-02-27T00:00:00.000Z</x:v>
      </x:c>
      <x:c r="H152" s="212" t="str">
        <x:v>0001692819-26-000006</x:v>
      </x:c>
      <x:c r="I152" s="212" t="str">
        <x:v>us-gaap:PaymentsToAcquirePropertyPlantAndEquipment</x:v>
      </x:c>
      <x:c r="J152" s="212" t="str">
        <x:v>c-1</x:v>
      </x:c>
      <x:c r="K152" s="212" t="str">
        <x:v>[]</x:v>
      </x:c>
      <x:c r="L152" s="212" t="n">
        <x:v>6</x:v>
      </x:c>
      <x:c r="M152" s="212" t="str">
        <x:v>-6</x:v>
      </x:c>
      <x:c r="N152" s="212" t="str">
        <x:v>https://www.sec.gov/Archives/edgar/data/1692819/000169281926000006/vistra-20251231.htm</x:v>
      </x:c>
      <x:c r="O152" s="212" t="str">
        <x:v>Checked balance sheet / cash-flow statement</x:v>
      </x:c>
      <x:c r="P152" s="212" t="str">
        <x:v>Exact tag, USD duration, exact start and end dates, no dimensions</x:v>
      </x:c>
      <x:c r="Q152" s="212"/>
      <x:c r="R152" s="16" t="str">
        <x:v>USD</x:v>
      </x:c>
    </x:row>
    <x:row r="153" ht="86" customHeight="1">
      <x:c r="A153" s="25" t="str">
        <x:v>Ratio input: Capital expenditures, including nuclear fuel and LTSA prepayments · current year to date</x:v>
      </x:c>
      <x:c r="B153" s="234" t="n">
        <x:v>1572000000</x:v>
      </x:c>
      <x:c r="C153" s="212" t="str">
        <x:v>Capital expenditures, including nuclear fuel and LTSA prepayments · current year to date</x:v>
      </x:c>
      <x:c r="D153" s="235" t="d">
        <x:v>2026-01-01T00:00:00.000Z</x:v>
      </x:c>
      <x:c r="E153" s="235" t="d">
        <x:v>2026-06-30T00:00:00.000Z</x:v>
      </x:c>
      <x:c r="F153" s="212" t="str">
        <x:v>10-Q</x:v>
      </x:c>
      <x:c r="G153" s="235" t="d">
        <x:v>2026-08-10T00:00:00.000Z</x:v>
      </x:c>
      <x:c r="H153" s="212" t="str">
        <x:v>0001692819-26-000019</x:v>
      </x:c>
      <x:c r="I153" s="212" t="str">
        <x:v>us-gaap:PaymentsToAcquirePropertyPlantAndEquipment</x:v>
      </x:c>
      <x:c r="J153" s="212" t="str">
        <x:v>c-1</x:v>
      </x:c>
      <x:c r="K153" s="212" t="str">
        <x:v>[]</x:v>
      </x:c>
      <x:c r="L153" s="212" t="n">
        <x:v>6</x:v>
      </x:c>
      <x:c r="M153" s="212" t="str">
        <x:v>-6</x:v>
      </x:c>
      <x:c r="N153" s="212" t="str">
        <x:v>https://www.sec.gov/Archives/edgar/data/1692819/000169281926000019/vistra-20260630.htm</x:v>
      </x:c>
      <x:c r="O153" s="212" t="str">
        <x:v>Checked balance sheet / cash-flow statement</x:v>
      </x:c>
      <x:c r="P153" s="212" t="str">
        <x:v>Exact tag, USD duration, exact start and end dates, no dimensions</x:v>
      </x:c>
      <x:c r="Q153" s="212"/>
      <x:c r="R153" s="16" t="str">
        <x:v>USD</x:v>
      </x:c>
    </x:row>
    <x:row r="154" ht="86" customHeight="1">
      <x:c r="A154" s="26" t="str">
        <x:v>Ratio input: Capital expenditures, including nuclear fuel and LTSA prepayments · prior year to date</x:v>
      </x:c>
      <x:c r="B154" s="236" t="n">
        <x:v>1458000000</x:v>
      </x:c>
      <x:c r="C154" s="213" t="str">
        <x:v>Capital expenditures, including nuclear fuel and LTSA prepayments · prior year to date</x:v>
      </x:c>
      <x:c r="D154" s="237" t="d">
        <x:v>2025-01-01T00:00:00.000Z</x:v>
      </x:c>
      <x:c r="E154" s="237" t="d">
        <x:v>2025-06-30T00:00:00.000Z</x:v>
      </x:c>
      <x:c r="F154" s="213" t="str">
        <x:v>10-Q</x:v>
      </x:c>
      <x:c r="G154" s="237" t="d">
        <x:v>2026-08-10T00:00:00.000Z</x:v>
      </x:c>
      <x:c r="H154" s="213" t="str">
        <x:v>0001692819-26-000019</x:v>
      </x:c>
      <x:c r="I154" s="213" t="str">
        <x:v>us-gaap:PaymentsToAcquirePropertyPlantAndEquipment</x:v>
      </x:c>
      <x:c r="J154" s="213" t="str">
        <x:v>c-7</x:v>
      </x:c>
      <x:c r="K154" s="213" t="str">
        <x:v>[]</x:v>
      </x:c>
      <x:c r="L154" s="213" t="n">
        <x:v>6</x:v>
      </x:c>
      <x:c r="M154" s="213" t="str">
        <x:v>-6</x:v>
      </x:c>
      <x:c r="N154" s="213" t="str">
        <x:v>https://www.sec.gov/Archives/edgar/data/1692819/000169281926000019/vistra-20260630.htm</x:v>
      </x:c>
      <x:c r="O154" s="213" t="str">
        <x:v>Checked balance sheet / cash-flow statement</x:v>
      </x:c>
      <x:c r="P154" s="213" t="str">
        <x:v>Exact tag, USD duration, exact start and end dates, no dimensions</x:v>
      </x:c>
      <x:c r="Q154" s="213"/>
      <x:c r="R154" s="18" t="str">
        <x:v>USD</x:v>
      </x:c>
    </x:row>
    <x:row r="157" ht="70" customHeight="1">
      <x:c r="A157" s="13" t="str">
        <x:v>Input</x:v>
      </x:c>
      <x:c r="B157" s="226" t="str">
        <x:v>USD, displayed millions</x:v>
      </x:c>
      <x:c r="C157" s="226" t="str">
        <x:v>Description</x:v>
      </x:c>
      <x:c r="D157" s="226" t="str">
        <x:v>Period from</x:v>
      </x:c>
      <x:c r="E157" s="226" t="str">
        <x:v>Period through</x:v>
      </x:c>
      <x:c r="F157" s="226" t="str">
        <x:v>Form</x:v>
      </x:c>
      <x:c r="G157" s="226" t="str">
        <x:v>Filed</x:v>
      </x:c>
      <x:c r="H157" s="226" t="str">
        <x:v>Accession</x:v>
      </x:c>
      <x:c r="I157" s="226" t="str">
        <x:v>Tag</x:v>
      </x:c>
      <x:c r="J157" s="226" t="str">
        <x:v>Context</x:v>
      </x:c>
      <x:c r="K157" s="226" t="str">
        <x:v>Dimensions</x:v>
      </x:c>
      <x:c r="L157" s="226" t="str">
        <x:v>Scale</x:v>
      </x:c>
      <x:c r="M157" s="226" t="str">
        <x:v>Decimals</x:v>
      </x:c>
      <x:c r="N157" s="226" t="str">
        <x:v>Source</x:v>
      </x:c>
      <x:c r="O157" s="226" t="str">
        <x:v>Location</x:v>
      </x:c>
      <x:c r="P157" s="226" t="str">
        <x:v>Reason if unavailable</x:v>
      </x:c>
      <x:c r="Q157" s="226" t="str">
        <x:v>Reviewed source SHA256</x:v>
      </x:c>
      <x:c r="R157" s="14" t="str">
        <x:v>Unit and selection rule</x:v>
      </x:c>
    </x:row>
    <x:row r="158" ht="70" customHeight="1">
      <x:c r="A158" s="25" t="str">
        <x:v>Cash and cash equivalents</x:v>
      </x:c>
      <x:c r="B158" s="234" t="n">
        <x:v>785000000</x:v>
      </x:c>
      <x:c r="C158" s="212" t="str">
        <x:v>Cash and cash equivalents</x:v>
      </x:c>
      <x:c r="D158" s="235"/>
      <x:c r="E158" s="235" t="d">
        <x:v>2025-12-31T00:00:00.000Z</x:v>
      </x:c>
      <x:c r="F158" s="212" t="str">
        <x:v>10-K</x:v>
      </x:c>
      <x:c r="G158" s="235" t="d">
        <x:v>2026-02-27T00:00:00.000Z</x:v>
      </x:c>
      <x:c r="H158" s="212" t="str">
        <x:v>0001692819-26-000006</x:v>
      </x:c>
      <x:c r="I158" s="212" t="str">
        <x:v>us-gaap:CashAndCashEquivalentsAtCarryingValue</x:v>
      </x:c>
      <x:c r="J158" s="212" t="str">
        <x:v>c-7</x:v>
      </x:c>
      <x:c r="K158" s="212" t="str">
        <x:v>[]</x:v>
      </x:c>
      <x:c r="L158" s="212" t="n">
        <x:v>6</x:v>
      </x:c>
      <x:c r="M158" s="212" t="str">
        <x:v>-6</x:v>
      </x:c>
      <x:c r="N158" s="212" t="str">
        <x:v>https://www.sec.gov/Archives/edgar/data/1692819/000169281926000006/vistra-20251231.htm</x:v>
      </x:c>
      <x:c r="O158" s="212" t="str">
        <x:v>10-K balance sheet p. 80; cash/restricted cash reconciliation</x:v>
      </x:c>
      <x:c r="P158" s="212" t="str">
        <x:v>USD instant at the balance-sheet date, from the latest original 10-K or 10-Q itself</x:v>
      </x:c>
      <x:c r="Q158" s="212" t="str">
        <x:v>42e6a0ba0c833ede7d9d452b9f1ea68fbc4cb52035129ab5d5e02916e02822d4</x:v>
      </x:c>
      <x:c r="R158" s="16" t="str">
        <x:v>USD</x:v>
      </x:c>
    </x:row>
    <x:row r="159" ht="70" customHeight="1">
      <x:c r="A159" s="25" t="str">
        <x:v>Current assets</x:v>
      </x:c>
      <x:c r="B159" s="234" t="n">
        <x:v>9179000000</x:v>
      </x:c>
      <x:c r="C159" s="212" t="str">
        <x:v>Current assets</x:v>
      </x:c>
      <x:c r="D159" s="235"/>
      <x:c r="E159" s="235" t="d">
        <x:v>2025-12-31T00:00:00.000Z</x:v>
      </x:c>
      <x:c r="F159" s="212" t="str">
        <x:v>10-K</x:v>
      </x:c>
      <x:c r="G159" s="235" t="d">
        <x:v>2026-02-27T00:00:00.000Z</x:v>
      </x:c>
      <x:c r="H159" s="212" t="str">
        <x:v>0001692819-26-000006</x:v>
      </x:c>
      <x:c r="I159" s="212" t="str">
        <x:v>us-gaap:AssetsCurrent</x:v>
      </x:c>
      <x:c r="J159" s="212" t="str">
        <x:v>c-7</x:v>
      </x:c>
      <x:c r="K159" s="212" t="str">
        <x:v>[]</x:v>
      </x:c>
      <x:c r="L159" s="212" t="n">
        <x:v>6</x:v>
      </x:c>
      <x:c r="M159" s="212" t="str">
        <x:v>-6</x:v>
      </x:c>
      <x:c r="N159" s="212" t="str">
        <x:v>https://www.sec.gov/Archives/edgar/data/1692819/000169281926000006/vistra-20251231.htm</x:v>
      </x:c>
      <x:c r="O159" s="212" t="str">
        <x:v>10-K balance sheet p. 80; cash/restricted cash reconciliation</x:v>
      </x:c>
      <x:c r="P159" s="212" t="str">
        <x:v>USD instant at the balance-sheet date, from the latest original 10-K or 10-Q itself</x:v>
      </x:c>
      <x:c r="Q159" s="212" t="str">
        <x:v>42e6a0ba0c833ede7d9d452b9f1ea68fbc4cb52035129ab5d5e02916e02822d4</x:v>
      </x:c>
      <x:c r="R159" s="16" t="str">
        <x:v>USD</x:v>
      </x:c>
    </x:row>
    <x:row r="160" ht="70" customHeight="1">
      <x:c r="A160" s="25" t="str">
        <x:v>Current liabilities</x:v>
      </x:c>
      <x:c r="B160" s="234" t="n">
        <x:v>11814000000</x:v>
      </x:c>
      <x:c r="C160" s="212" t="str">
        <x:v>Current liabilities</x:v>
      </x:c>
      <x:c r="D160" s="235"/>
      <x:c r="E160" s="235" t="d">
        <x:v>2025-12-31T00:00:00.000Z</x:v>
      </x:c>
      <x:c r="F160" s="212" t="str">
        <x:v>10-K</x:v>
      </x:c>
      <x:c r="G160" s="235" t="d">
        <x:v>2026-02-27T00:00:00.000Z</x:v>
      </x:c>
      <x:c r="H160" s="212" t="str">
        <x:v>0001692819-26-000006</x:v>
      </x:c>
      <x:c r="I160" s="212" t="str">
        <x:v>us-gaap:LiabilitiesCurrent</x:v>
      </x:c>
      <x:c r="J160" s="212" t="str">
        <x:v>c-7</x:v>
      </x:c>
      <x:c r="K160" s="212" t="str">
        <x:v>[]</x:v>
      </x:c>
      <x:c r="L160" s="212" t="n">
        <x:v>6</x:v>
      </x:c>
      <x:c r="M160" s="212" t="str">
        <x:v>-6</x:v>
      </x:c>
      <x:c r="N160" s="212" t="str">
        <x:v>https://www.sec.gov/Archives/edgar/data/1692819/000169281926000006/vistra-20251231.htm</x:v>
      </x:c>
      <x:c r="O160" s="212" t="str">
        <x:v>10-K balance sheet p. 80; cash/restricted cash reconciliation</x:v>
      </x:c>
      <x:c r="P160" s="212" t="str">
        <x:v>USD instant at the balance-sheet date, from the latest original 10-K or 10-Q itself</x:v>
      </x:c>
      <x:c r="Q160" s="212" t="str">
        <x:v>42e6a0ba0c833ede7d9d452b9f1ea68fbc4cb52035129ab5d5e02916e02822d4</x:v>
      </x:c>
      <x:c r="R160" s="16" t="str">
        <x:v>USD</x:v>
      </x:c>
    </x:row>
    <x:row r="161" ht="70" customHeight="1">
      <x:c r="A161" s="25" t="str">
        <x:v>Operating cash flow · fiscal year</x:v>
      </x:c>
      <x:c r="B161" s="234" t="n">
        <x:v>4070000000</x:v>
      </x:c>
      <x:c r="C161" s="212" t="str">
        <x:v>Operating cash flow · fiscal year</x:v>
      </x:c>
      <x:c r="D161" s="235" t="d">
        <x:v>2025-01-01T00:00:00.000Z</x:v>
      </x:c>
      <x:c r="E161" s="235" t="d">
        <x:v>2025-12-31T00:00:00.000Z</x:v>
      </x:c>
      <x:c r="F161" s="212" t="str">
        <x:v>10-K</x:v>
      </x:c>
      <x:c r="G161" s="235" t="d">
        <x:v>2026-02-27T00:00:00.000Z</x:v>
      </x:c>
      <x:c r="H161" s="212" t="str">
        <x:v>0001692819-26-000006</x:v>
      </x:c>
      <x:c r="I161" s="212" t="str">
        <x:v>us-gaap:NetCashProvidedByUsedInOperatingActivities</x:v>
      </x:c>
      <x:c r="J161" s="212" t="str">
        <x:v>c-1</x:v>
      </x:c>
      <x:c r="K161" s="212" t="str">
        <x:v>[]</x:v>
      </x:c>
      <x:c r="L161" s="212" t="n">
        <x:v>6</x:v>
      </x:c>
      <x:c r="M161" s="212" t="str">
        <x:v>-6</x:v>
      </x:c>
      <x:c r="N161" s="212" t="str">
        <x:v>https://www.sec.gov/Archives/edgar/data/1692819/000169281926000006/vistra-20251231.htm</x:v>
      </x:c>
      <x:c r="O161" s="212" t="str">
        <x:v>Annual cash-flow statement</x:v>
      </x:c>
      <x:c r="P161" s="212" t="str">
        <x:v>Exact tag, USD duration, exact start and end dates, no dimensions</x:v>
      </x:c>
      <x:c r="Q161" s="212" t="str"/>
      <x:c r="R161" s="16" t="str">
        <x:v>USD</x:v>
      </x:c>
    </x:row>
    <x:row r="162" ht="70" customHeight="1">
      <x:c r="A162" s="26" t="str">
        <x:v>Capital expenditures, including nuclear fuel and LTSA prepayments · fiscal year</x:v>
      </x:c>
      <x:c r="B162" s="236" t="n">
        <x:v>2752000000</x:v>
      </x:c>
      <x:c r="C162" s="213" t="str">
        <x:v>Capital expenditures, including nuclear fuel and LTSA prepayments · fiscal year</x:v>
      </x:c>
      <x:c r="D162" s="237" t="d">
        <x:v>2025-01-01T00:00:00.000Z</x:v>
      </x:c>
      <x:c r="E162" s="237" t="d">
        <x:v>2025-12-31T00:00:00.000Z</x:v>
      </x:c>
      <x:c r="F162" s="213" t="str">
        <x:v>10-K</x:v>
      </x:c>
      <x:c r="G162" s="237" t="d">
        <x:v>2026-02-27T00:00:00.000Z</x:v>
      </x:c>
      <x:c r="H162" s="213" t="str">
        <x:v>0001692819-26-000006</x:v>
      </x:c>
      <x:c r="I162" s="213" t="str">
        <x:v>us-gaap:PaymentsToAcquirePropertyPlantAndEquipment</x:v>
      </x:c>
      <x:c r="J162" s="213" t="str">
        <x:v>c-1</x:v>
      </x:c>
      <x:c r="K162" s="213" t="str">
        <x:v>[]</x:v>
      </x:c>
      <x:c r="L162" s="213" t="n">
        <x:v>6</x:v>
      </x:c>
      <x:c r="M162" s="213" t="str">
        <x:v>-6</x:v>
      </x:c>
      <x:c r="N162" s="213" t="str">
        <x:v>https://www.sec.gov/Archives/edgar/data/1692819/000169281926000006/vistra-20251231.htm</x:v>
      </x:c>
      <x:c r="O162" s="213" t="str">
        <x:v>Annual cash-flow statement</x:v>
      </x:c>
      <x:c r="P162" s="213" t="str">
        <x:v>Exact tag, USD duration, exact start and end dates, no dimensions</x:v>
      </x:c>
      <x:c r="Q162" s="213" t="str"/>
      <x:c r="R162" s="18" t="str">
        <x:v>USD</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row r="38" ht="78" customHeight="1">
      <x:c r="A38" s="254" t="str">
        <x:v>Borrowing and leases</x:v>
      </x:c>
      <x:c r="B38" s="257" t="str">
        <x:v>The Borrowing and leases sheet reconciles baseline borrowing and shows lease balances on their own dates. Unavailable means the amount was not established in the checked evidence. Leases never enter baseline debt or its ratios.</x:v>
      </x:c>
      <x:c r="C38" s="258" t="str">
        <x:v>https://github.com/jackconnolly1000-ux/sec-filing-research-terminal/blob/main/docs/borrowing_lease_presentation.md</x:v>
      </x:c>
    </x:row>
    <x:row r="39" ht="86" customHeight="1">
      <x:c r="A39" s="254" t="str">
        <x:v>Ratio reconciliation</x:v>
      </x:c>
      <x:c r="B39" s="257" t="str">
        <x:v>Debt and liquidity shows current ratio, same-filing net debt, TTM OCF/debt and FCF/debt, and historical interest coverage. Denominator definitions and capital-spending bases differ by company. Values are historical, not future funding coverage.</x:v>
      </x:c>
      <x:c r="C39" s="258" t="str">
        <x:v>https://github.com/jackconnolly1000-ux/sec-filing-research-terminal/blob/main/docs/ratio_reconciliation.md</x:v>
      </x:c>
    </x:row>
    <x:row r="40" ht="70" customHeight="1">
      <x:c r="A40" s="308" t="str">
        <x:v>History</x:v>
      </x:c>
      <x:c r="B40" s="309" t="str">
        <x:v>Two dated observations per company. Fiscal-year and TTM flows are overlapping twelve-month windows. Unsupported older Vistra borrowing and dependent ratios remain Unavailable.</x:v>
      </x:c>
      <x:c r="C40" s="310" t="str">
        <x:v>https://github.com/jackconnolly1000-ux/sec-filing-research-terminal/blob/main/docs/company_history.md</x:v>
      </x:c>
    </x:row>
    <x:row r="41" ht="70" customHeight="1">
      <x:c r="A41" s="308" t="str">
        <x:v>Core charts</x:v>
      </x:c>
      <x:c r="B41" s="309" t="str">
        <x:v>Two native charts link to Debt and liquidity and History. Signed capital spending is a use; FCF is the result. Unsupported older Vistra borrowing is omitted, never plotted as zero.</x:v>
      </x:c>
      <x:c r="C41" s="310" t="str">
        <x:v>https://github.com/jackconnolly1000-ux/sec-filing-research-terminal/blob/main/docs/core_charts.md</x:v>
      </x:c>
    </x:row>
  </x:sheetData>
  <x:pageMargins left="0.7" right="0.7" top="0.75" bottom="0.75" header="0.3" footer="0.3"/>
</x:worksheet>
</file>