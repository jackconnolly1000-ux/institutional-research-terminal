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62f94b4d9344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bt and liquidity" sheetId="1" r:id="R7d12193cfa934755"/>
    <x:sheet xmlns:r="http://schemas.openxmlformats.org/officeDocument/2006/relationships" name="Repayment review" sheetId="2" r:id="Re655cfdc693741a9"/>
    <x:sheet xmlns:r="http://schemas.openxmlformats.org/officeDocument/2006/relationships" name="Data" sheetId="3" r:id="Ra7c4c30a87544473"/>
    <x:sheet xmlns:r="http://schemas.openxmlformats.org/officeDocument/2006/relationships" name="About" sheetId="4" r:id="R73e53caaedc84b0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,,;(#,##0,,);&quot;-&quot;"/>
    <x:numFmt numFmtId="201" formatCode="mmm d, yyyy"/>
    <x:numFmt numFmtId="202" formatCode="0.00&quot;x&quot;"/>
    <x:numFmt numFmtId="203" formatCode="0.0%"/>
  </x:numFmts>
  <x:fonts count="18">
    <x:font>
      <x:sz val="11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sz val="11"/>
      <x:name val="Arial"/>
    </x:font>
    <x:font>
      <x:sz val="11"/>
      <x:color rgb="FF008000"/>
      <x:name val="Arial"/>
    </x:font>
    <x:font>
      <x:sz val="11"/>
      <x:color rgb="FF000000"/>
      <x:name val="Arial"/>
    </x:font>
    <x:font>
      <x:sz val="10"/>
      <x:name val="Arial"/>
    </x:font>
    <x:font>
      <x:sz val="10"/>
      <x:color rgb="FF008000"/>
      <x:name val="Arial"/>
    </x:font>
    <x:font>
      <x:sz val="10"/>
      <x:color rgb="FF000000"/>
      <x:name val="Arial"/>
    </x:font>
    <x:font>
      <x:sz val="11"/>
      <x:color rgb="FF0000FF"/>
      <x:name val="Arial"/>
    </x:font>
    <x:font>
      <x:sz val="10"/>
      <x:color rgb="FF0000FF"/>
      <x:name val="Arial"/>
    </x:font>
    <x:font>
      <x:b/>
      <x:sz val="10"/>
      <x:name val="Arial"/>
    </x:font>
    <x:font>
      <x:b/>
      <x:sz val="14"/>
      <x:name val="Arial"/>
    </x:font>
    <x:font>
      <x:b/>
      <x:sz val="10"/>
      <x:color rgb="FF008000"/>
      <x:name val="Arial"/>
    </x:font>
    <x:font>
      <x:b/>
      <x:sz val="10"/>
      <x:color rgb="FF000000"/>
      <x:name val="Arial"/>
    </x:font>
    <x:font>
      <x:sz val="10"/>
      <x:name val="Arial"/>
    </x:font>
    <x:font>
      <x:sz val="14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F0F2F5"/>
      </x:patternFill>
    </x:fill>
  </x:fills>
  <x:borders count="13">
    <x:border>
      <x:left/>
      <x:right/>
      <x:top/>
      <x:bottom/>
      <x:diagonal/>
    </x:border>
    <x:border>
      <x:left style="thin">
        <x:color rgb="FFBBC3CD"/>
      </x:left>
      <x:right style="thin">
        <x:color rgb="FFDDE2E7"/>
      </x:right>
      <x:top style="thin">
        <x:color rgb="FFBBC3CD"/>
      </x:top>
      <x:bottom/>
      <x:diagonal/>
    </x:border>
    <x:border>
      <x:left style="thin">
        <x:color rgb="FFDDE2E7"/>
      </x:left>
      <x:right style="thin">
        <x:color rgb="FFDDE2E7"/>
      </x:right>
      <x:top style="thin">
        <x:color rgb="FFBBC3CD"/>
      </x:top>
      <x:bottom/>
      <x:diagonal/>
    </x:border>
    <x:border>
      <x:left style="thin">
        <x:color rgb="FFDDE2E7"/>
      </x:left>
      <x:right style="thin">
        <x:color rgb="FFBBC3CD"/>
      </x:right>
      <x:top style="thin">
        <x:color rgb="FFBBC3CD"/>
      </x:top>
      <x:bottom/>
      <x:diagonal/>
    </x:border>
    <x:border>
      <x:left style="thin">
        <x:color rgb="FFBBC3CD"/>
      </x:left>
      <x:right style="thin">
        <x:color rgb="FFDDE2E7"/>
      </x:right>
      <x:top/>
      <x:bottom/>
      <x:diagonal/>
    </x:border>
    <x:border>
      <x:left style="thin">
        <x:color rgb="FFDDE2E7"/>
      </x:left>
      <x:right style="thin">
        <x:color rgb="FFDDE2E7"/>
      </x:right>
      <x:top/>
      <x:bottom/>
      <x:diagonal/>
    </x:border>
    <x:border>
      <x:left style="thin">
        <x:color rgb="FFDDE2E7"/>
      </x:left>
      <x:right style="thin">
        <x:color rgb="FFBBC3CD"/>
      </x:right>
      <x:top/>
      <x:bottom/>
      <x:diagonal/>
    </x:border>
    <x:border>
      <x:left style="thin">
        <x:color rgb="FFBBC3CD"/>
      </x:left>
      <x:right style="thin">
        <x:color rgb="FFDDE2E7"/>
      </x:right>
      <x:top/>
      <x:bottom style="thin">
        <x:color rgb="FFBBC3CD"/>
      </x:bottom>
      <x:diagonal/>
    </x:border>
    <x:border>
      <x:left style="thin">
        <x:color rgb="FFDDE2E7"/>
      </x:left>
      <x:right style="thin">
        <x:color rgb="FFDDE2E7"/>
      </x:right>
      <x:top/>
      <x:bottom style="thin">
        <x:color rgb="FFBBC3CD"/>
      </x:bottom>
      <x:diagonal/>
    </x:border>
    <x:border>
      <x:left style="thin">
        <x:color rgb="FFDDE2E7"/>
      </x:left>
      <x:right style="thin">
        <x:color rgb="FFBBC3CD"/>
      </x:right>
      <x:top/>
      <x:bottom style="thin">
        <x:color rgb="FFBBC3CD"/>
      </x:bottom>
      <x:diagonal/>
    </x:border>
    <x:border>
      <x:left style="thin">
        <x:color rgb="FFBBC3CD"/>
      </x:left>
      <x:right style="thin">
        <x:color rgb="FFDDE2E7"/>
      </x:right>
      <x:top style="thin">
        <x:color rgb="FFBBC3CD"/>
      </x:top>
      <x:bottom style="thin">
        <x:color rgb="FFBBC3CD"/>
      </x:bottom>
      <x:diagonal/>
    </x:border>
    <x:border>
      <x:left style="thin">
        <x:color rgb="FFDDE2E7"/>
      </x:left>
      <x:right style="thin">
        <x:color rgb="FFDDE2E7"/>
      </x:right>
      <x:top style="thin">
        <x:color rgb="FFBBC3CD"/>
      </x:top>
      <x:bottom style="thin">
        <x:color rgb="FFBBC3CD"/>
      </x:bottom>
      <x:diagonal/>
    </x:border>
    <x:border>
      <x:left style="thin">
        <x:color rgb="FFDDE2E7"/>
      </x:left>
      <x:right style="thin">
        <x:color rgb="FFBBC3CD"/>
      </x:right>
      <x:top style="thin">
        <x:color rgb="FFBBC3CD"/>
      </x:top>
      <x:bottom style="thin">
        <x:color rgb="FFBBC3CD"/>
      </x:bottom>
      <x:diagonal/>
    </x:border>
  </x:borders>
  <x:cellStyleXfs count="1">
    <x:xf numFmtId="0" fontId="0" fillId="0" borderId="0"/>
  </x:cellStyleXfs>
  <x:cellXfs count="123">
    <x:xf numFmtId="0" fontId="0" fillId="0" borderId="0" xfId="0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201" fontId="0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2" fillId="0" borderId="0" xfId="0" applyNumberFormat="1" applyFont="1" applyFill="1" applyBorder="1"/>
    <x:xf numFmtId="200" fontId="3" fillId="0" borderId="0" xfId="0" applyNumberFormat="1" applyFont="1" applyFill="1" applyBorder="1"/>
    <x:xf numFmtId="202" fontId="2" fillId="0" borderId="0" xfId="0" applyNumberFormat="1" applyFont="1" applyFill="1" applyBorder="1"/>
    <x:xf numFmtId="203" fontId="3" fillId="0" borderId="0" xfId="0" applyNumberFormat="1" applyFont="1" applyFill="1" applyBorder="1"/>
    <x:xf numFmtId="0" fontId="4" fillId="0" borderId="0" xfId="0" applyNumberFormat="1" applyFont="1" applyFill="1" applyBorder="1"/>
    <x:xf numFmtId="200" fontId="5" fillId="0" borderId="0" xfId="0" applyNumberFormat="1" applyFont="1" applyFill="1" applyBorder="1"/>
    <x:xf numFmtId="201" fontId="4" fillId="0" borderId="0" xfId="0" applyNumberFormat="1" applyFont="1" applyFill="1" applyBorder="1"/>
    <x:xf numFmtId="200" fontId="6" fillId="0" borderId="0" xfId="0" applyNumberFormat="1" applyFont="1" applyFill="1" applyBorder="1"/>
    <x:xf numFmtId="202" fontId="5" fillId="0" borderId="0" xfId="0" applyNumberFormat="1" applyFont="1" applyFill="1" applyBorder="1"/>
    <x:xf numFmtId="203" fontId="6" fillId="0" borderId="0" xfId="0" applyNumberFormat="1" applyFont="1" applyFill="1" applyBorder="1"/>
    <x:xf numFmtId="0" fontId="5" fillId="0" borderId="0" xfId="0" applyNumberFormat="1" applyFont="1" applyFill="1" applyBorder="1"/>
    <x:xf numFmtId="0" fontId="7" fillId="0" borderId="0" xfId="0" applyNumberFormat="1" applyFont="1" applyFill="1" applyBorder="1"/>
    <x:xf numFmtId="200" fontId="8" fillId="0" borderId="0" xfId="0" applyNumberFormat="1" applyFont="1" applyFill="1" applyBorder="1"/>
    <x:xf numFmtId="201" fontId="7" fillId="0" borderId="0" xfId="0" applyNumberFormat="1" applyFont="1" applyFill="1" applyBorder="1"/>
    <x:xf numFmtId="200" fontId="9" fillId="0" borderId="0" xfId="0" applyNumberFormat="1" applyFont="1" applyFill="1" applyBorder="1"/>
    <x:xf numFmtId="202" fontId="8" fillId="0" borderId="0" xfId="0" applyNumberFormat="1" applyFont="1" applyFill="1" applyBorder="1"/>
    <x:xf numFmtId="203" fontId="9" fillId="0" borderId="0" xfId="0" applyNumberFormat="1" applyFont="1" applyFill="1" applyBorder="1"/>
    <x:xf numFmtId="0" fontId="8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top"/>
    </x:xf>
    <x:xf numFmtId="200" fontId="8" fillId="0" borderId="0" xfId="0" applyNumberFormat="1" applyFont="1" applyFill="1" applyBorder="1" applyAlignment="1">
      <x:alignment vertical="top"/>
    </x:xf>
    <x:xf numFmtId="201" fontId="7" fillId="0" borderId="0" xfId="0" applyNumberFormat="1" applyFont="1" applyFill="1" applyBorder="1" applyAlignment="1">
      <x:alignment vertical="top"/>
    </x:xf>
    <x:xf numFmtId="200" fontId="9" fillId="0" borderId="0" xfId="0" applyNumberFormat="1" applyFont="1" applyFill="1" applyBorder="1" applyAlignment="1">
      <x:alignment vertical="top"/>
    </x:xf>
    <x:xf numFmtId="202" fontId="8" fillId="0" borderId="0" xfId="0" applyNumberFormat="1" applyFont="1" applyFill="1" applyBorder="1" applyAlignment="1">
      <x:alignment vertical="top"/>
    </x:xf>
    <x:xf numFmtId="203" fontId="9" fillId="0" borderId="0" xfId="0" applyNumberFormat="1" applyFont="1" applyFill="1" applyBorder="1" applyAlignment="1">
      <x:alignment vertical="top"/>
    </x:xf>
    <x:xf numFmtId="0" fontId="8" fillId="0" borderId="0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 wrapText="1"/>
    </x:xf>
    <x:xf numFmtId="200" fontId="8" fillId="0" borderId="0" xfId="0" applyNumberFormat="1" applyFont="1" applyFill="1" applyBorder="1" applyAlignment="1">
      <x:alignment vertical="top" wrapText="1"/>
    </x:xf>
    <x:xf numFmtId="201" fontId="7" fillId="0" borderId="0" xfId="0" applyNumberFormat="1" applyFont="1" applyFill="1" applyBorder="1" applyAlignment="1">
      <x:alignment vertical="top" wrapText="1"/>
    </x:xf>
    <x:xf numFmtId="200" fontId="9" fillId="0" borderId="0" xfId="0" applyNumberFormat="1" applyFont="1" applyFill="1" applyBorder="1" applyAlignment="1">
      <x:alignment vertical="top" wrapText="1"/>
    </x:xf>
    <x:xf numFmtId="202" fontId="8" fillId="0" borderId="0" xfId="0" applyNumberFormat="1" applyFont="1" applyFill="1" applyBorder="1" applyAlignment="1">
      <x:alignment vertical="top" wrapText="1"/>
    </x:xf>
    <x:xf numFmtId="203" fontId="9" fillId="0" borderId="0" xfId="0" applyNumberFormat="1" applyFont="1" applyFill="1" applyBorder="1" applyAlignment="1">
      <x:alignment vertical="top" wrapText="1"/>
    </x:xf>
    <x:xf numFmtId="0" fontId="8" fillId="0" borderId="0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/>
    <x:xf numFmtId="0" fontId="9" fillId="0" borderId="0" xfId="0" applyNumberFormat="1" applyFont="1" applyFill="1" applyBorder="1"/>
    <x:xf numFmtId="0" fontId="9" fillId="0" borderId="0" xfId="0" applyNumberFormat="1" applyFont="1" applyFill="1" applyBorder="1" applyAlignment="1">
      <x:alignment vertical="top"/>
    </x:xf>
    <x:xf numFmtId="0" fontId="9" fillId="0" borderId="0" xfId="0" applyNumberFormat="1" applyFont="1" applyFill="1" applyBorder="1" applyAlignment="1">
      <x:alignment vertical="top" wrapText="1"/>
    </x:xf>
    <x:xf numFmtId="200" fontId="10" fillId="0" borderId="0" xfId="0" applyNumberFormat="1" applyFont="1" applyFill="1" applyBorder="1"/>
    <x:xf numFmtId="200" fontId="11" fillId="0" borderId="0" xfId="0" applyNumberFormat="1" applyFont="1" applyFill="1" applyBorder="1"/>
    <x:xf numFmtId="200" fontId="11" fillId="0" borderId="0" xfId="0" applyNumberFormat="1" applyFont="1" applyFill="1" applyBorder="1" applyAlignment="1">
      <x:alignment vertical="top"/>
    </x:xf>
    <x:xf numFmtId="200" fontId="11" fillId="0" borderId="0" xfId="0" applyNumberFormat="1" applyFont="1" applyFill="1" applyBorder="1" applyAlignment="1">
      <x:alignment vertical="top" wrapText="1"/>
    </x:xf>
    <x:xf numFmtId="0" fontId="12" fillId="0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top" wrapText="0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7" fillId="0" borderId="4" xfId="0" applyNumberFormat="1" applyFont="1" applyFill="1" applyBorder="1" applyAlignment="1">
      <x:alignment vertical="top" wrapText="1"/>
    </x:xf>
    <x:xf numFmtId="200" fontId="8" fillId="0" borderId="5" xfId="0" applyNumberFormat="1" applyFont="1" applyFill="1" applyBorder="1" applyAlignment="1">
      <x:alignment vertical="top" wrapText="1"/>
    </x:xf>
    <x:xf numFmtId="201" fontId="7" fillId="0" borderId="5" xfId="0" applyNumberFormat="1" applyFont="1" applyFill="1" applyBorder="1" applyAlignment="1">
      <x:alignment vertical="top" wrapText="1"/>
    </x:xf>
    <x:xf numFmtId="0" fontId="7" fillId="0" borderId="6" xfId="0" applyNumberFormat="1" applyFont="1" applyFill="1" applyBorder="1" applyAlignment="1">
      <x:alignment vertical="top" wrapText="1"/>
    </x:xf>
    <x:xf numFmtId="200" fontId="9" fillId="0" borderId="5" xfId="0" applyNumberFormat="1" applyFont="1" applyFill="1" applyBorder="1" applyAlignment="1">
      <x:alignment vertical="top" wrapText="1"/>
    </x:xf>
    <x:xf numFmtId="202" fontId="8" fillId="0" borderId="5" xfId="0" applyNumberFormat="1" applyFont="1" applyFill="1" applyBorder="1" applyAlignment="1">
      <x:alignment vertical="top" wrapText="1"/>
    </x:xf>
    <x:xf numFmtId="203" fontId="9" fillId="0" borderId="5" xfId="0" applyNumberFormat="1" applyFont="1" applyFill="1" applyBorder="1" applyAlignment="1">
      <x:alignment vertical="top" wrapText="1"/>
    </x:xf>
    <x:xf numFmtId="0" fontId="7" fillId="0" borderId="7" xfId="0" applyNumberFormat="1" applyFont="1" applyFill="1" applyBorder="1" applyAlignment="1">
      <x:alignment vertical="top" wrapText="1"/>
    </x:xf>
    <x:xf numFmtId="203" fontId="9" fillId="0" borderId="8" xfId="0" applyNumberFormat="1" applyFont="1" applyFill="1" applyBorder="1" applyAlignment="1">
      <x:alignment vertical="top" wrapText="1"/>
    </x:xf>
    <x:xf numFmtId="201" fontId="7" fillId="0" borderId="8" xfId="0" applyNumberFormat="1" applyFont="1" applyFill="1" applyBorder="1" applyAlignment="1">
      <x:alignment vertical="top" wrapText="1"/>
    </x:xf>
    <x:xf numFmtId="0" fontId="7" fillId="0" borderId="9" xfId="0" applyNumberFormat="1" applyFont="1" applyFill="1" applyBorder="1" applyAlignment="1">
      <x:alignment vertical="top" wrapText="1"/>
    </x:xf>
    <x:xf numFmtId="0" fontId="8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8" fillId="0" borderId="6" xfId="0" applyNumberFormat="1" applyFont="1" applyFill="1" applyBorder="1" applyAlignment="1">
      <x:alignment vertical="top" wrapText="1"/>
    </x:xf>
    <x:xf numFmtId="0" fontId="8" fillId="0" borderId="7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8" fillId="0" borderId="9" xfId="0" applyNumberFormat="1" applyFont="1" applyFill="1" applyBorder="1" applyAlignment="1">
      <x:alignment vertical="top" wrapText="1"/>
    </x:xf>
    <x:xf numFmtId="0" fontId="7" fillId="2" borderId="1" xfId="0" applyNumberFormat="1" applyFont="1" applyFill="1" applyBorder="1" applyAlignment="1">
      <x:alignment vertical="top" wrapText="1"/>
    </x:xf>
    <x:xf numFmtId="0" fontId="7" fillId="2" borderId="2" xfId="0" applyNumberFormat="1" applyFont="1" applyFill="1" applyBorder="1" applyAlignment="1">
      <x:alignment vertical="top" wrapText="1"/>
    </x:xf>
    <x:xf numFmtId="0" fontId="7" fillId="2" borderId="3" xfId="0" applyNumberFormat="1" applyFont="1" applyFill="1" applyBorder="1" applyAlignment="1">
      <x:alignment vertical="top" wrapText="1"/>
    </x:xf>
    <x:xf numFmtId="0" fontId="12" fillId="2" borderId="1" xfId="0" applyNumberFormat="1" applyFont="1" applyFill="1" applyBorder="1" applyAlignment="1">
      <x:alignment vertical="top" wrapText="1"/>
    </x:xf>
    <x:xf numFmtId="0" fontId="12" fillId="2" borderId="2" xfId="0" applyNumberFormat="1" applyFont="1" applyFill="1" applyBorder="1" applyAlignment="1">
      <x:alignment vertical="top" wrapText="1"/>
    </x:xf>
    <x:xf numFmtId="0" fontId="12" fillId="2" borderId="3" xfId="0" applyNumberFormat="1" applyFont="1" applyFill="1" applyBorder="1" applyAlignment="1">
      <x:alignment vertical="top" wrapText="1"/>
    </x:xf>
    <x:xf numFmtId="0" fontId="12" fillId="2" borderId="1" xfId="0" applyNumberFormat="1" applyFont="1" applyFill="1" applyBorder="1" applyAlignment="1">
      <x:alignment horizontal="center" vertical="top" wrapText="1"/>
    </x:xf>
    <x:xf numFmtId="0" fontId="12" fillId="2" borderId="2" xfId="0" applyNumberFormat="1" applyFont="1" applyFill="1" applyBorder="1" applyAlignment="1">
      <x:alignment horizontal="center" vertical="top" wrapText="1"/>
    </x:xf>
    <x:xf numFmtId="0" fontId="12" fillId="2" borderId="3" xfId="0" applyNumberFormat="1" applyFont="1" applyFill="1" applyBorder="1" applyAlignment="1">
      <x:alignment horizontal="center" vertical="top" wrapText="1"/>
    </x:xf>
    <x:xf numFmtId="0" fontId="12" fillId="2" borderId="10" xfId="0" applyNumberFormat="1" applyFont="1" applyFill="1" applyBorder="1" applyAlignment="1">
      <x:alignment horizontal="center" vertical="top" wrapText="1"/>
    </x:xf>
    <x:xf numFmtId="0" fontId="12" fillId="2" borderId="11" xfId="0" applyNumberFormat="1" applyFont="1" applyFill="1" applyBorder="1" applyAlignment="1">
      <x:alignment horizontal="center" vertical="top" wrapText="1"/>
    </x:xf>
    <x:xf numFmtId="0" fontId="12" fillId="2" borderId="12" xfId="0" applyNumberFormat="1" applyFont="1" applyFill="1" applyBorder="1" applyAlignment="1">
      <x:alignment horizontal="center" vertical="top" wrapText="1"/>
    </x:xf>
    <x:xf numFmtId="0" fontId="12" fillId="0" borderId="4" xfId="0" applyNumberFormat="1" applyFont="1" applyFill="1" applyBorder="1" applyAlignment="1">
      <x:alignment vertical="top" wrapText="1"/>
    </x:xf>
    <x:xf numFmtId="200" fontId="14" fillId="0" borderId="5" xfId="0" applyNumberFormat="1" applyFont="1" applyFill="1" applyBorder="1" applyAlignment="1">
      <x:alignment vertical="top" wrapText="1"/>
    </x:xf>
    <x:xf numFmtId="201" fontId="12" fillId="0" borderId="5" xfId="0" applyNumberFormat="1" applyFont="1" applyFill="1" applyBorder="1" applyAlignment="1">
      <x:alignment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2" fillId="0" borderId="1" xfId="0" applyNumberFormat="1" applyFont="1" applyFill="1" applyBorder="1" applyAlignment="1">
      <x:alignment vertical="top" wrapText="1"/>
    </x:xf>
    <x:xf numFmtId="200" fontId="14" fillId="0" borderId="2" xfId="0" applyNumberFormat="1" applyFont="1" applyFill="1" applyBorder="1" applyAlignment="1">
      <x:alignment vertical="top" wrapText="1"/>
    </x:xf>
    <x:xf numFmtId="201" fontId="12" fillId="0" borderId="2" xfId="0" applyNumberFormat="1" applyFont="1" applyFill="1" applyBorder="1" applyAlignment="1">
      <x:alignment vertical="top" wrapText="1"/>
    </x:xf>
    <x:xf numFmtId="0" fontId="12" fillId="0" borderId="3" xfId="0" applyNumberFormat="1" applyFont="1" applyFill="1" applyBorder="1" applyAlignment="1">
      <x:alignment vertical="top" wrapText="1"/>
    </x:xf>
    <x:xf numFmtId="200" fontId="15" fillId="0" borderId="5" xfId="0" applyNumberFormat="1" applyFont="1" applyFill="1" applyBorder="1" applyAlignment="1">
      <x:alignment vertical="top" wrapText="1"/>
    </x:xf>
    <x:xf numFmtId="200" fontId="15" fillId="0" borderId="2" xfId="0" applyNumberFormat="1" applyFont="1" applyFill="1" applyBorder="1" applyAlignment="1">
      <x:alignment vertical="top" wrapText="1"/>
    </x:xf>
    <x:xf numFmtId="0" fontId="16" fillId="0" borderId="6" xfId="0" applyNumberFormat="1" applyFont="1" applyFill="1" applyBorder="1" applyAlignment="1">
      <x:alignment vertical="top" wrapText="1"/>
    </x:xf>
    <x:xf numFmtId="0" fontId="16" fillId="0" borderId="3" xfId="0" applyNumberFormat="1" applyFont="1" applyFill="1" applyBorder="1" applyAlignment="1">
      <x:alignment vertical="top" wrapText="1"/>
    </x:xf>
    <x:xf numFmtId="0" fontId="16" fillId="0" borderId="9" xfId="0" applyNumberFormat="1" applyFont="1" applyFill="1" applyBorder="1" applyAlignment="1">
      <x:alignment vertical="top" wrapText="1"/>
    </x:xf>
    <x:xf numFmtId="200" fontId="11" fillId="0" borderId="5" xfId="0" applyNumberFormat="1" applyFont="1" applyFill="1" applyBorder="1" applyAlignment="1">
      <x:alignment vertical="top" wrapText="1"/>
    </x:xf>
    <x:xf numFmtId="0" fontId="7" fillId="0" borderId="5" xfId="0" applyNumberFormat="1" applyFont="1" applyFill="1" applyBorder="1" applyAlignment="1">
      <x:alignment vertical="top" wrapText="1"/>
    </x:xf>
    <x:xf numFmtId="200" fontId="11" fillId="0" borderId="8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 wrapText="1"/>
    </x:xf>
    <x:xf numFmtId="0" fontId="17" fillId="0" borderId="0" xfId="0" applyNumberFormat="1" applyFont="1" applyFill="1" applyBorder="1" applyAlignment="1">
      <x:alignment vertical="top" wrapText="1"/>
    </x:xf>
    <x:xf numFmtId="0" fontId="9" fillId="0" borderId="5" xfId="0" applyNumberFormat="1" applyFont="1" applyFill="1" applyBorder="1" applyAlignment="1">
      <x:alignment vertical="top" wrapText="1"/>
    </x:xf>
    <x:xf numFmtId="0" fontId="9" fillId="0" borderId="8" xfId="0" applyNumberFormat="1" applyFont="1" applyFill="1" applyBorder="1" applyAlignment="1">
      <x:alignment vertical="top" wrapText="1"/>
    </x:xf>
    <x:xf numFmtId="0" fontId="8" fillId="0" borderId="2" xfId="0" applyNumberFormat="1" applyFont="1" applyFill="1" applyBorder="1" applyAlignment="1">
      <x:alignment vertical="top" wrapText="1"/>
    </x:xf>
    <x:xf numFmtId="0" fontId="15" fillId="0" borderId="5" xfId="0" applyNumberFormat="1" applyFont="1" applyFill="1" applyBorder="1" applyAlignment="1">
      <x:alignment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5" fillId="0" borderId="2" xfId="0" applyNumberFormat="1" applyFont="1" applyFill="1" applyBorder="1" applyAlignment="1">
      <x:alignment vertical="top" wrapText="1"/>
    </x:xf>
    <x:xf numFmtId="0" fontId="12" fillId="0" borderId="2" xfId="0" applyNumberFormat="1" applyFont="1" applyFill="1" applyBorder="1" applyAlignment="1">
      <x:alignment vertical="top" wrapText="1"/>
    </x:xf>
    <x:xf numFmtId="0" fontId="12" fillId="0" borderId="7" xfId="0" applyNumberFormat="1" applyFont="1" applyFill="1" applyBorder="1" applyAlignment="1">
      <x:alignment vertical="top" wrapText="1"/>
    </x:xf>
    <x:xf numFmtId="0" fontId="15" fillId="0" borderId="8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 applyAlignment="1">
      <x:alignment vertical="top" wrapText="1"/>
    </x:xf>
    <x:xf numFmtId="0" fontId="12" fillId="0" borderId="10" xfId="0" applyNumberFormat="1" applyFont="1" applyFill="1" applyBorder="1" applyAlignment="1">
      <x:alignment vertical="top" wrapText="1"/>
    </x:xf>
    <x:xf numFmtId="0" fontId="15" fillId="0" borderId="11" xfId="0" applyNumberFormat="1" applyFont="1" applyFill="1" applyBorder="1" applyAlignment="1">
      <x:alignment vertical="top" wrapText="1"/>
    </x:xf>
    <x:xf numFmtId="0" fontId="12" fillId="0" borderId="11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vertical="top" wrapText="1"/>
    </x:xf>
    <x:xf numFmtId="200" fontId="15" fillId="0" borderId="11" xfId="0" applyNumberFormat="1" applyFont="1" applyFill="1" applyBorder="1" applyAlignment="1">
      <x:alignment vertical="top" wrapText="1"/>
    </x:xf>
    <x:xf numFmtId="200" fontId="7" fillId="0" borderId="0" xfId="0" applyNumberFormat="1" applyFont="1" applyFill="1" applyBorder="1" applyAlignment="1">
      <x:alignment vertical="top" wrapText="1"/>
    </x:xf>
    <x:xf numFmtId="200" fontId="12" fillId="2" borderId="11" xfId="0" applyNumberFormat="1" applyFont="1" applyFill="1" applyBorder="1" applyAlignment="1">
      <x:alignment horizontal="center" vertical="top" wrapText="1"/>
    </x:xf>
    <x:xf numFmtId="200" fontId="7" fillId="0" borderId="5" xfId="0" applyNumberFormat="1" applyFont="1" applyFill="1" applyBorder="1" applyAlignment="1">
      <x:alignment vertical="top" wrapText="1"/>
    </x:xf>
    <x:xf numFmtId="200" fontId="8" fillId="0" borderId="8" xfId="0" applyNumberFormat="1" applyFont="1" applyFill="1" applyBorder="1" applyAlignment="1">
      <x:alignment vertical="top" wrapText="1"/>
    </x:xf>
    <x:xf numFmtId="200" fontId="8" fillId="0" borderId="2" xfId="0" applyNumberFormat="1" applyFont="1" applyFill="1" applyBorder="1" applyAlignment="1">
      <x:alignment vertical="top" wrapText="1"/>
    </x:xf>
    <x:xf numFmtId="200" fontId="7" fillId="0" borderId="8" xfId="0" applyNumberFormat="1" applyFont="1" applyFill="1" applyBorder="1" applyAlignment="1">
      <x:alignment vertical="top" wrapText="1"/>
    </x:xf>
    <x:xf numFmtId="0" fontId="11" fillId="0" borderId="5" xfId="0" applyNumberFormat="1" applyFont="1" applyFill="1" applyBorder="1" applyAlignment="1">
      <x:alignment vertical="top" wrapText="1"/>
    </x:xf>
    <x:xf numFmtId="0" fontId="11" fillId="0" borderId="8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e2d54842bbb4f82" /><Relationship Type="http://schemas.openxmlformats.org/officeDocument/2006/relationships/theme" Target="/xl/theme/theme1.xml" Id="Re988bcf8b6044afb" /><Relationship Type="http://schemas.openxmlformats.org/officeDocument/2006/relationships/sharedStrings" Target="/xl/sharedStrings.xml" Id="Rbbbb4694b0384f15" /><Relationship Type="http://schemas.openxmlformats.org/officeDocument/2006/relationships/worksheet" Target="/xl/worksheets/sheet1.xml" Id="R7d12193cfa934755" /><Relationship Type="http://schemas.openxmlformats.org/officeDocument/2006/relationships/worksheet" Target="/xl/worksheets/sheet2.xml" Id="Re655cfdc693741a9" /><Relationship Type="http://schemas.openxmlformats.org/officeDocument/2006/relationships/worksheet" Target="/xl/worksheets/sheet3.xml" Id="Ra7c4c30a87544473" /><Relationship Type="http://schemas.openxmlformats.org/officeDocument/2006/relationships/worksheet" Target="/xl/worksheets/sheet4.xml" Id="R73e53caaedc84b0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1c17877e17e441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What added to or used cash? January–June 2026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USD millions</c:v>
          </c:tx>
          <c:spPr>
            <a:solidFill xmlns:a="http://schemas.openxmlformats.org/drawingml/2006/main">
              <a:srgbClr val="737985"/>
            </a:solidFill>
          </c:spPr>
          <c:invertIfNegative val="0"/>
          <c:cat>
            <c:strRef>
              <c:f>'Repayment review'!$F$28:$F$33</c:f>
              <c:strCache>
                <c:ptCount val="0"/>
              </c:strCache>
            </c:strRef>
          </c:cat>
          <c:val>
            <c:numRef>
              <c:f>'Repayment review'!$G$28:$G$33</c:f>
              <c:numCache>
                <c:formatCode>#,##0,,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low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USD millions (negative = cash used)</a:t>
                </a:r>
              </a:p>
            </c:rich>
          </c:tx>
          <c:overlay val="0"/>
        </c:title>
        <c:numFmt formatCode="#,##0,,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5</xdr:row>
      <xdr:rowOff>0</xdr:rowOff>
    </xdr:from>
    <xdr:to>
      <xdr:col>16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c17877e17e441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73ab5a2ae28497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29" hidden="0" customWidth="1"/>
    <x:col min="3" max="3" width="26" hidden="0" customWidth="1"/>
    <x:col min="4" max="4" width="73" hidden="0" customWidth="1"/>
  </x:cols>
  <x:sheetData>
    <x:row r="2" ht="30" customHeight="1">
      <x:c r="A2" s="47" t="str">
        <x:v>Eli Lilly and Company</x:v>
      </x:c>
      <x:c r="B2" s="31"/>
      <x:c r="C2" s="31"/>
      <x:c r="D2" s="31"/>
    </x:row>
    <x:row r="3" ht="30" customHeight="1">
      <x:c r="A3" s="48" t="str">
        <x:v>Balance sheet June 30, 2026. TTM July 2025–June 2026. USD millions unless ratio or %.</x:v>
      </x:c>
      <x:c r="B3" s="31"/>
      <x:c r="C3" s="31"/>
      <x:c r="D3" s="31"/>
    </x:row>
    <x:row r="4" ht="30" customHeight="1">
      <x:c r="A4" s="31"/>
      <x:c r="B4" s="31"/>
      <x:c r="C4" s="31"/>
      <x:c r="D4" s="31"/>
    </x:row>
    <x:row r="5" ht="30" customHeight="1">
      <x:c r="A5" s="78" t="str">
        <x:v>Measure</x:v>
      </x:c>
      <x:c r="B5" s="79" t="str">
        <x:v>Value</x:v>
      </x:c>
      <x:c r="C5" s="79" t="str">
        <x:v>Period end</x:v>
      </x:c>
      <x:c r="D5" s="80" t="str">
        <x:v>Basis / limitation</x:v>
      </x:c>
    </x:row>
    <x:row r="6" ht="46" customHeight="1">
      <x:c r="A6" s="52" t="str">
        <x:v>Cash and cash equivalents</x:v>
      </x:c>
      <x:c r="B6" s="53" t="n">
        <x:f>IF(ISNUMBER('Data'!B2),'Data'!B2,NA())</x:f>
        <x:v>8950000000</x:v>
      </x:c>
      <x:c r="C6" s="54" t="d">
        <x:v>2026-06-30T00:00:00.000Z</x:v>
      </x:c>
      <x:c r="D6" s="91" t="str"/>
    </x:row>
    <x:row r="7" ht="68" customHeight="1">
      <x:c r="A7" s="85" t="str">
        <x:v>Baseline gross debt</x:v>
      </x:c>
      <x:c r="B7" s="86" t="n">
        <x:f>IF(ISNUMBER('Data'!B3),'Data'!B3,NA())+IF(ISNUMBER('Data'!B4),'Data'!B4,NA())</x:f>
        <x:v>54908000000</x:v>
      </x:c>
      <x:c r="C7" s="87" t="d">
        <x:v>2026-06-30T00:00:00.000Z</x:v>
      </x:c>
      <x:c r="D7" s="92" t="str">
        <x:v>In this 10-Q, the Note 8 fair-value table's carrying amounts (commercial paper 5,284M plus long-term debt including current portion 49,624M) present the same 54,908M; they are not added. Excluded: fair-value-table carrying amounts of the same borrowings (commercial paper, long-term debt)</x:v>
      </x:c>
    </x:row>
    <x:row r="8" ht="46" customHeight="1">
      <x:c r="A8" s="85" t="str">
        <x:v>Net debt</x:v>
      </x:c>
      <x:c r="B8" s="90" t="n">
        <x:f>B7-B6</x:f>
        <x:v>45958000000</x:v>
      </x:c>
      <x:c r="C8" s="87" t="d">
        <x:v>2026-06-30T00:00:00.000Z</x:v>
      </x:c>
      <x:c r="D8" s="92" t="str"/>
    </x:row>
    <x:row r="9" ht="46" customHeight="1">
      <x:c r="A9" s="52" t="str">
        <x:v>Current ratio</x:v>
      </x:c>
      <x:c r="B9" s="57" t="n">
        <x:f>IF(IF(ISNUMBER('Data'!B5),'Data'!B5,NA())&gt;0,IF(ISNUMBER('Data'!B6),'Data'!B6,NA())/IF(ISNUMBER('Data'!B5),'Data'!B5,NA()),NA())</x:f>
        <x:v>1.3546427598919168</x:v>
      </x:c>
      <x:c r="C9" s="54" t="d">
        <x:v>2026-06-30T00:00:00.000Z</x:v>
      </x:c>
      <x:c r="D9" s="91" t="str"/>
    </x:row>
    <x:row r="10" ht="46" customHeight="1">
      <x:c r="A10" s="52" t="str">
        <x:v>Operating cash flow</x:v>
      </x:c>
      <x:c r="B10" s="53" t="n">
        <x:f>(1*IF(ISNUMBER('Data'!B7),'Data'!B7,NA())) + (1*IF(ISNUMBER('Data'!B8),'Data'!B8,NA())) + (-1*IF(ISNUMBER('Data'!B9),'Data'!B9,NA()))</x:f>
        <x:v>28083000000</x:v>
      </x:c>
      <x:c r="C10" s="54" t="d">
        <x:v>2026-06-30T00:00:00.000Z</x:v>
      </x:c>
      <x:c r="D10" s="91" t="str"/>
    </x:row>
    <x:row r="11" ht="46" customHeight="1">
      <x:c r="A11" s="52" t="str">
        <x:v>Purchases of property and equipment</x:v>
      </x:c>
      <x:c r="B11" s="53" t="n">
        <x:f>(1*IF(ISNUMBER('Data'!B10),'Data'!B10,NA())) + (1*IF(ISNUMBER('Data'!B11),'Data'!B11,NA())) + (-1*IF(ISNUMBER('Data'!B12),'Data'!B12,NA()))</x:f>
        <x:v>9893000000</x:v>
      </x:c>
      <x:c r="C11" s="54" t="d">
        <x:v>2026-06-30T00:00:00.000Z</x:v>
      </x:c>
      <x:c r="D11" s="91" t="str"/>
    </x:row>
    <x:row r="12" ht="46" customHeight="1">
      <x:c r="A12" s="85" t="str">
        <x:v>Free cash flow</x:v>
      </x:c>
      <x:c r="B12" s="90" t="n">
        <x:f>B10-B11</x:f>
        <x:v>18190000000</x:v>
      </x:c>
      <x:c r="C12" s="87" t="d">
        <x:v>2026-06-30T00:00:00.000Z</x:v>
      </x:c>
      <x:c r="D12" s="92" t="str">
        <x:v>Reported purchases of property and equipment; excludes acquisitions and other investing cash flows.</x:v>
      </x:c>
    </x:row>
    <x:row r="13" ht="46" customHeight="1">
      <x:c r="A13" s="52" t="str">
        <x:v>Operating cash flow / debt</x:v>
      </x:c>
      <x:c r="B13" s="58" t="n">
        <x:f>IF(B7&gt;0,B10/B7,NA())</x:f>
        <x:v>0.511455525606469</x:v>
      </x:c>
      <x:c r="C13" s="54" t="d">
        <x:v>2026-06-30T00:00:00.000Z</x:v>
      </x:c>
      <x:c r="D13" s="91" t="str">
        <x:v>Historical TTM flow / period-end debt. Not repayment coverage.</x:v>
      </x:c>
    </x:row>
    <x:row r="14" ht="46" customHeight="1">
      <x:c r="A14" s="59" t="str">
        <x:v>Free cash flow / debt</x:v>
      </x:c>
      <x:c r="B14" s="60" t="n">
        <x:f>IF(B7&gt;0,B12/B7,NA())</x:f>
        <x:v>0.33128141618707657</x:v>
      </x:c>
      <x:c r="C14" s="61" t="d">
        <x:v>2026-06-30T00:00:00.000Z</x:v>
      </x:c>
      <x:c r="D14" s="93" t="str">
        <x:v>Historical TTM flow / period-end debt. Not repayment coverage.</x:v>
      </x:c>
    </x:row>
    <x:row r="15" ht="30" customHeight="1">
      <x:c r="A15" s="31"/>
      <x:c r="B15" s="31"/>
      <x:c r="C15" s="31"/>
      <x:c r="D15" s="31"/>
    </x:row>
    <x:row r="16" ht="30" customHeight="1">
      <x:c r="A16" s="31"/>
      <x:c r="B16" s="31"/>
      <x:c r="C16" s="31"/>
      <x:c r="D16" s="31"/>
    </x:row>
    <x:row r="17" ht="30" customHeight="1">
      <x:c r="A17" s="31" t="str">
        <x:v>Selected obligations, separate from borrowing</x:v>
      </x:c>
      <x:c r="B17" s="31"/>
      <x:c r="C17" s="31"/>
      <x:c r="D17" s="31"/>
    </x:row>
    <x:row r="18" ht="30" customHeight="1">
      <x:c r="A18" s="78" t="str">
        <x:v>Item</x:v>
      </x:c>
      <x:c r="B18" s="79" t="str">
        <x:v>Disclosed amount / timing</x:v>
      </x:c>
      <x:c r="C18" s="80" t="str">
        <x:v>Basis</x:v>
      </x:c>
      <x:c r="D18" s="31"/>
    </x:row>
    <x:row r="19" ht="62" customHeight="1">
      <x:c r="A19" s="63" t="str">
        <x:f>'Data'!A16</x:f>
        <x:v>Pending AtaiBeckley acquisition</x:v>
      </x:c>
      <x:c r="B19" s="64" t="str">
        <x:f>'Data'!B16</x:f>
        <x:v>Approximately $2.8B</x:v>
      </x:c>
      <x:c r="C19" s="65" t="str">
        <x:f>'Data'!I16</x:f>
        <x:v>Potential payment at closing, subject to closing conditions. Not recognized as borrowing.</x:v>
      </x:c>
      <x:c r="D19" s="31"/>
    </x:row>
    <x:row r="20" ht="62" customHeight="1">
      <x:c r="A20" s="66" t="str">
        <x:f>'Data'!A17</x:f>
        <x:v>Venture fund commitments</x:v>
      </x:c>
      <x:c r="B20" s="67" t="str">
        <x:f>'Data'!B17</x:f>
        <x:v>Approximately $806M</x:v>
      </x:c>
      <x:c r="C20" s="68" t="str">
        <x:f>'Data'!I17</x:f>
        <x:v>Expected to be paid over up to ten years. Not recognized as borrowing.</x:v>
      </x:c>
      <x:c r="D20" s="31"/>
    </x:row>
    <x:row r="21" ht="30" customHeight="1">
      <x:c r="A21" s="31"/>
      <x:c r="B21" s="31"/>
      <x:c r="C21" s="31"/>
      <x:c r="D21" s="31"/>
    </x:row>
    <x:row r="22" ht="30" customHeight="1">
      <x:c r="A22" s="31"/>
      <x:c r="B22" s="31"/>
      <x:c r="C22" s="31"/>
      <x:c r="D22" s="31"/>
    </x:row>
    <x:row r="23" ht="30" customHeight="1">
      <x:c r="A23" s="31" t="str">
        <x:v>Remaining gaps</x:v>
      </x:c>
      <x:c r="B23" s="31"/>
      <x:c r="C23" s="31"/>
      <x:c r="D23" s="31"/>
    </x:row>
    <x:row r="24" ht="30" customHeight="1">
      <x:c r="A24" s="48" t="str">
        <x:v>June lease liabilities, updated principal maturities and interest coverage are Unavailable.</x:v>
      </x:c>
      <x:c r="B24" s="31"/>
      <x:c r="C24" s="31"/>
      <x:c r="D24" s="31"/>
    </x:row>
    <x:row r="25" ht="30" customHeight="1">
      <x:c r="A25" s="48" t="str">
        <x:v>See Repayment review for dated cash flows, facilities, acquisitions and manufacturing commitments.</x:v>
      </x:c>
      <x:c r="B25" s="31"/>
      <x:c r="C25" s="31"/>
      <x:c r="D25" s="31"/>
    </x:row>
    <x:row r="26" ht="30" customHeight="1">
      <x:c r="A26" s="48" t="str">
        <x:v>Sources and selection rules are in Data. Saved August 5 earnings exhibit reviewed; no complete filing inventory claimed.</x:v>
      </x:c>
      <x:c r="B26" s="31"/>
      <x:c r="C26" s="31"/>
      <x:c r="D26" s="3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46" hidden="0" customWidth="1"/>
    <x:col min="2" max="2" width="23" hidden="0" customWidth="1"/>
    <x:col min="3" max="3" width="34" hidden="0" customWidth="1"/>
    <x:col min="4" max="4" width="99" hidden="0" customWidth="1"/>
    <x:col min="5" max="5" width="3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</x:cols>
  <x:sheetData>
    <x:row r="2" ht="30" customHeight="1">
      <x:c r="A2" s="47" t="str">
        <x:v>Lilly — dated liquidity and repayment review</x:v>
      </x:c>
      <x:c r="B2" s="31"/>
      <x:c r="C2" s="31"/>
      <x:c r="D2" s="31"/>
      <x:c r="E2" s="31"/>
      <x:c r="F2" s="31"/>
      <x:c r="G2" s="31"/>
    </x:row>
    <x:row r="3" ht="30" customHeight="1">
      <x:c r="A3" s="48" t="str">
        <x:v>Saved filings reviewed October 15, 2026. Cash flows: January–June 2026. USD millions.</x:v>
      </x:c>
      <x:c r="B3" s="31"/>
      <x:c r="C3" s="31"/>
      <x:c r="D3" s="31"/>
      <x:c r="E3" s="31"/>
      <x:c r="F3" s="31"/>
      <x:c r="G3" s="31"/>
    </x:row>
    <x:row r="4" ht="43" customHeight="1">
      <x:c r="A4" s="31" t="str">
        <x:v>H1 cash generation after PP&amp;E was positive; acquisitions and payouts competed for it. Net borrowing contributed to cash growth. Future funding coverage: Unavailable.</x:v>
      </x:c>
      <x:c r="B4" s="31"/>
      <x:c r="C4" s="31"/>
      <x:c r="D4" s="31"/>
      <x:c r="E4" s="31"/>
      <x:c r="F4" s="31"/>
      <x:c r="G4" s="31"/>
    </x:row>
    <x:row r="5" ht="30" customHeight="1">
      <x:c r="A5" s="31"/>
      <x:c r="B5" s="31"/>
      <x:c r="C5" s="31"/>
      <x:c r="D5" s="31"/>
      <x:c r="E5" s="31"/>
      <x:c r="F5" s="31"/>
      <x:c r="G5" s="31"/>
    </x:row>
    <x:row r="6" ht="30" customHeight="1">
      <x:c r="A6" s="78" t="str">
        <x:v>Half-year cash build</x:v>
      </x:c>
      <x:c r="B6" s="79" t="str">
        <x:v>USD millions</x:v>
      </x:c>
      <x:c r="C6" s="79" t="str">
        <x:v>Period / basis</x:v>
      </x:c>
      <x:c r="D6" s="80" t="str">
        <x:v>Interpretation</x:v>
      </x:c>
      <x:c r="E6" s="31"/>
      <x:c r="F6" s="31"/>
      <x:c r="G6" s="31"/>
    </x:row>
    <x:row r="7" ht="43" customHeight="1">
      <x:c r="A7" s="52" t="str">
        <x:v>Opening cash</x:v>
      </x:c>
      <x:c r="B7" s="53" t="n">
        <x:f>IF(ISNUMBER('Data'!B37),'Data'!B37,NA())</x:f>
        <x:v>7268000000</x:v>
      </x:c>
      <x:c r="C7" s="95" t="str">
        <x:v>December 31, 2025</x:v>
      </x:c>
      <x:c r="D7" s="55" t="str">
        <x:v>Excludes restricted cash. Not an additional half-year flow.</x:v>
      </x:c>
      <x:c r="E7" s="31"/>
      <x:c r="F7" s="31"/>
      <x:c r="G7" s="31"/>
    </x:row>
    <x:row r="8" ht="43" customHeight="1">
      <x:c r="A8" s="52" t="str">
        <x:v>Operating cash flow</x:v>
      </x:c>
      <x:c r="B8" s="53" t="n">
        <x:f>IF(ISNUMBER('Data'!B21),'Data'!B21,NA())</x:f>
        <x:v>16023000000</x:v>
      </x:c>
      <x:c r="C8" s="95" t="str">
        <x:v>January–June 2026</x:v>
      </x:c>
      <x:c r="D8" s="55" t="str">
        <x:v>Historical; includes working capital. Future recurrence not established.</x:v>
      </x:c>
      <x:c r="E8" s="31"/>
      <x:c r="F8" s="31"/>
      <x:c r="G8" s="31"/>
    </x:row>
    <x:row r="9" ht="43" customHeight="1">
      <x:c r="A9" s="52" t="str">
        <x:v>Cash PP&amp;E spending</x:v>
      </x:c>
      <x:c r="B9" s="53" t="n">
        <x:f>-IF(ISNUMBER('Data'!B22),'Data'!B22,NA())</x:f>
        <x:v>-5259000000</x:v>
      </x:c>
      <x:c r="C9" s="95" t="str">
        <x:v>January–June 2026</x:v>
      </x:c>
      <x:c r="D9" s="55" t="str">
        <x:v>Cash use, not a forecast of manufacturing investment.</x:v>
      </x:c>
      <x:c r="E9" s="31"/>
      <x:c r="F9" s="31"/>
      <x:c r="G9" s="31"/>
    </x:row>
    <x:row r="10" ht="43" customHeight="1">
      <x:c r="A10" s="52" t="str">
        <x:v>Cash acquisitions, net of cash acquired</x:v>
      </x:c>
      <x:c r="B10" s="53" t="n">
        <x:f>-IF(ISNUMBER('Data'!B25),'Data'!B25,NA())</x:f>
        <x:v>-9805000000</x:v>
      </x:c>
      <x:c r="C10" s="95" t="str">
        <x:v>January–June 2026</x:v>
      </x:c>
      <x:c r="D10" s="55" t="str">
        <x:v>Not added again to the approximately $13.3B business-development disclosure.</x:v>
      </x:c>
      <x:c r="E10" s="31"/>
      <x:c r="F10" s="31"/>
      <x:c r="G10" s="31"/>
    </x:row>
    <x:row r="11" ht="43" customHeight="1">
      <x:c r="A11" s="52" t="str">
        <x:v>Purchased in-process R&amp;D</x:v>
      </x:c>
      <x:c r="B11" s="53" t="n">
        <x:f>-IF(ISNUMBER('Data'!B24),'Data'!B24,NA())</x:f>
        <x:v>-3486000000</x:v>
      </x:c>
      <x:c r="C11" s="95" t="str">
        <x:v>January–June 2026</x:v>
      </x:c>
      <x:c r="D11" s="55" t="str">
        <x:v>Separate cash use; not all acquisition-related expense is cash.</x:v>
      </x:c>
      <x:c r="E11" s="31"/>
      <x:c r="F11" s="31"/>
      <x:c r="G11" s="31"/>
    </x:row>
    <x:row r="12" ht="43" customHeight="1">
      <x:c r="A12" s="52" t="str">
        <x:v>Cash dividends</x:v>
      </x:c>
      <x:c r="B12" s="53" t="n">
        <x:f>-IF(ISNUMBER('Data'!B28),'Data'!B28,NA())</x:f>
        <x:v>-3094000000</x:v>
      </x:c>
      <x:c r="C12" s="95" t="str">
        <x:v>January–June 2026</x:v>
      </x:c>
      <x:c r="D12" s="55" t="str">
        <x:v>Competes with repayments for cash.</x:v>
      </x:c>
      <x:c r="E12" s="31"/>
      <x:c r="F12" s="31"/>
      <x:c r="G12" s="31"/>
    </x:row>
    <x:row r="13" ht="43" customHeight="1">
      <x:c r="A13" s="52" t="str">
        <x:v>Share repurchases</x:v>
      </x:c>
      <x:c r="B13" s="53" t="n">
        <x:f>-IF(ISNUMBER('Data'!B32),'Data'!B32,NA())</x:f>
        <x:v>-3957000000</x:v>
      </x:c>
      <x:c r="C13" s="95" t="str">
        <x:v>January–June 2026</x:v>
      </x:c>
      <x:c r="D13" s="55" t="str">
        <x:v>Historical spending; no future pace assumed.</x:v>
      </x:c>
      <x:c r="E13" s="31"/>
      <x:c r="F13" s="31"/>
      <x:c r="G13" s="31"/>
    </x:row>
    <x:row r="14" ht="43" customHeight="1">
      <x:c r="A14" s="52" t="str">
        <x:v>Short-term borrowing, net</x:v>
      </x:c>
      <x:c r="B14" s="53" t="n">
        <x:f>IF(ISNUMBER('Data'!B29),'Data'!B29,NA())</x:f>
        <x:v>5284000000</x:v>
      </x:c>
      <x:c r="C14" s="95" t="str">
        <x:v>January–June 2026</x:v>
      </x:c>
      <x:c r="D14" s="55" t="str">
        <x:v>Financing inflow, not recurring operating generation.</x:v>
      </x:c>
      <x:c r="E14" s="31"/>
      <x:c r="F14" s="31"/>
      <x:c r="G14" s="31"/>
    </x:row>
    <x:row r="15" ht="43" customHeight="1">
      <x:c r="A15" s="52" t="str">
        <x:v>Long-term debt proceeds, net</x:v>
      </x:c>
      <x:c r="B15" s="53" t="n">
        <x:f>IF(ISNUMBER('Data'!B30),'Data'!B30,NA())</x:f>
        <x:v>8941000000</x:v>
      </x:c>
      <x:c r="C15" s="95" t="str">
        <x:v>January–June 2026</x:v>
      </x:c>
      <x:c r="D15" s="55" t="str">
        <x:v>May $9B issue is already included here; net cash differs from face amount.</x:v>
      </x:c>
      <x:c r="E15" s="31"/>
      <x:c r="F15" s="31"/>
      <x:c r="G15" s="31"/>
    </x:row>
    <x:row r="16" ht="43" customHeight="1">
      <x:c r="A16" s="52" t="str">
        <x:v>Long-term debt repaid</x:v>
      </x:c>
      <x:c r="B16" s="53" t="n">
        <x:f>-IF(ISNUMBER('Data'!B31),'Data'!B31,NA())</x:f>
        <x:v>-1623000000</x:v>
      </x:c>
      <x:c r="C16" s="95" t="str">
        <x:v>January–June 2026</x:v>
      </x:c>
      <x:c r="D16" s="55" t="str">
        <x:v>Already paid; not a future maturity schedule.</x:v>
      </x:c>
      <x:c r="E16" s="31"/>
      <x:c r="F16" s="31"/>
      <x:c r="G16" s="31"/>
    </x:row>
    <x:row r="17" ht="43" customHeight="1">
      <x:c r="A17" s="52" t="str">
        <x:v>Other investing and financing</x:v>
      </x:c>
      <x:c r="B17" s="53" t="n">
        <x:f>-IF(ISNUMBER('Data'!B23),'Data'!B23,NA())-IF(ISNUMBER('Data'!B26),'Data'!B26,NA())+IF(ISNUMBER('Data'!B33),'Data'!B33,NA())</x:f>
        <x:v>-1357000000</x:v>
      </x:c>
      <x:c r="C17" s="95" t="str">
        <x:v>January–June 2026</x:v>
      </x:c>
      <x:c r="D17" s="55" t="str">
        <x:v>Investment purchases, other investing and other financing.</x:v>
      </x:c>
      <x:c r="E17" s="31"/>
      <x:c r="F17" s="31"/>
      <x:c r="G17" s="31"/>
    </x:row>
    <x:row r="18" ht="43" customHeight="1">
      <x:c r="A18" s="52" t="str">
        <x:v>Exchange-rate effect</x:v>
      </x:c>
      <x:c r="B18" s="53" t="n">
        <x:f>IF(ISNUMBER('Data'!B35),'Data'!B35,NA())</x:f>
        <x:v>15000000</x:v>
      </x:c>
      <x:c r="C18" s="95" t="str">
        <x:v>January–June 2026</x:v>
      </x:c>
      <x:c r="D18" s="55" t="str">
        <x:v>Reconciles the cash balance.</x:v>
      </x:c>
      <x:c r="E18" s="31"/>
      <x:c r="F18" s="31"/>
      <x:c r="G18" s="31"/>
    </x:row>
    <x:row r="19" ht="43" customHeight="1">
      <x:c r="A19" s="85" t="str">
        <x:v>Calculated cash change</x:v>
      </x:c>
      <x:c r="B19" s="90" t="n">
        <x:f>SUM(B8:B18)</x:f>
        <x:v>1682000000</x:v>
      </x:c>
      <x:c r="C19" s="105" t="str">
        <x:v>January–June 2026</x:v>
      </x:c>
      <x:c r="D19" s="88" t="str">
        <x:v>All signed flows counted once.</x:v>
      </x:c>
      <x:c r="E19" s="31"/>
      <x:c r="F19" s="31"/>
      <x:c r="G19" s="31"/>
    </x:row>
    <x:row r="20" ht="43" customHeight="1">
      <x:c r="A20" s="85" t="str">
        <x:v>Calculated closing cash</x:v>
      </x:c>
      <x:c r="B20" s="90" t="n">
        <x:f>B7+B19</x:f>
        <x:v>8950000000</x:v>
      </x:c>
      <x:c r="C20" s="105" t="str">
        <x:v>June 30, 2026</x:v>
      </x:c>
      <x:c r="D20" s="88" t="str">
        <x:v>Opening cash plus change.</x:v>
      </x:c>
      <x:c r="E20" s="31"/>
      <x:c r="F20" s="31"/>
      <x:c r="G20" s="31"/>
    </x:row>
    <x:row r="21" ht="43" customHeight="1">
      <x:c r="A21" s="52" t="str">
        <x:v>Reported closing cash</x:v>
      </x:c>
      <x:c r="B21" s="53" t="n">
        <x:f>IF(ISNUMBER('Data'!B38),'Data'!B38,NA())</x:f>
        <x:v>8950000000</x:v>
      </x:c>
      <x:c r="C21" s="95" t="str">
        <x:v>June 30, 2026</x:v>
      </x:c>
      <x:c r="D21" s="55" t="str">
        <x:v>Not a current cash balance after subsequent payments.</x:v>
      </x:c>
      <x:c r="E21" s="31"/>
      <x:c r="F21" s="31"/>
      <x:c r="G21" s="31"/>
    </x:row>
    <x:row r="22" ht="43" customHeight="1">
      <x:c r="A22" s="85" t="str">
        <x:v>Cash reconciliation difference</x:v>
      </x:c>
      <x:c r="B22" s="90" t="n">
        <x:f>B20-B21</x:f>
        <x:v>0</x:v>
      </x:c>
      <x:c r="C22" s="105" t="str">
        <x:v>Zero = reconciled</x:v>
      </x:c>
      <x:c r="D22" s="88" t="str">
        <x:v>No cash forecast or unrestricted-funding total.</x:v>
      </x:c>
      <x:c r="E22" s="31"/>
      <x:c r="F22" s="31"/>
      <x:c r="G22" s="31"/>
    </x:row>
    <x:row r="23" ht="43" customHeight="1">
      <x:c r="A23" s="85" t="str">
        <x:v>OCF less cash PP&amp;E spending</x:v>
      </x:c>
      <x:c r="B23" s="90" t="n">
        <x:f>B8+B9</x:f>
        <x:v>10764000000</x:v>
      </x:c>
      <x:c r="C23" s="105" t="str">
        <x:v>Historical H1 only</x:v>
      </x:c>
      <x:c r="D23" s="88" t="str">
        <x:v>Excludes acquisitions, payouts and other cash uses.</x:v>
      </x:c>
      <x:c r="E23" s="31"/>
      <x:c r="F23" s="31"/>
      <x:c r="G23" s="31"/>
    </x:row>
    <x:row r="24" ht="43" customHeight="1">
      <x:c r="A24" s="85" t="str">
        <x:v>Net borrowing cash flow</x:v>
      </x:c>
      <x:c r="B24" s="90" t="n">
        <x:f>SUM(B14:B16)</x:f>
        <x:v>12602000000</x:v>
      </x:c>
      <x:c r="C24" s="105" t="str">
        <x:v>Historical H1 only</x:v>
      </x:c>
      <x:c r="D24" s="88" t="str">
        <x:v>Borrowing contributed to closing cash.</x:v>
      </x:c>
      <x:c r="E24" s="31"/>
      <x:c r="F24" s="31"/>
      <x:c r="G24" s="31"/>
    </x:row>
    <x:row r="25" ht="43" customHeight="1">
      <x:c r="A25" s="85" t="str">
        <x:v>Acquisitions + purchased IPR&amp;D</x:v>
      </x:c>
      <x:c r="B25" s="90" t="n">
        <x:f>-SUM(B10:B11)</x:f>
        <x:v>13291000000</x:v>
      </x:c>
      <x:c r="C25" s="105" t="str">
        <x:v>Historical H1 only</x:v>
      </x:c>
      <x:c r="D25" s="88" t="str">
        <x:v>Approximately $13.3B, already spent.</x:v>
      </x:c>
      <x:c r="E25" s="31"/>
      <x:c r="F25" s="31"/>
      <x:c r="G25" s="31"/>
    </x:row>
    <x:row r="26" ht="43" customHeight="1">
      <x:c r="A26" s="110" t="str">
        <x:v>Dividends + buybacks</x:v>
      </x:c>
      <x:c r="B26" s="114" t="n">
        <x:f>-SUM(B12:B13)</x:f>
        <x:v>7051000000</x:v>
      </x:c>
      <x:c r="C26" s="112" t="str">
        <x:v>Historical H1 only</x:v>
      </x:c>
      <x:c r="D26" s="113" t="str">
        <x:v>Not automatically recurring future obligations.</x:v>
      </x:c>
      <x:c r="E26" s="31"/>
      <x:c r="F26" s="31"/>
      <x:c r="G26" s="31"/>
    </x:row>
    <x:row r="27" ht="30" customHeight="1">
      <x:c r="A27" s="31"/>
      <x:c r="B27" s="115"/>
      <x:c r="C27" s="31"/>
      <x:c r="D27" s="31"/>
      <x:c r="E27" s="31"/>
      <x:c r="F27" s="31" t="str">
        <x:v>H1 cash contribution</x:v>
      </x:c>
      <x:c r="G27" s="31" t="str">
        <x:v>USD millions</x:v>
      </x:c>
    </x:row>
    <x:row r="28" ht="30" customHeight="1">
      <x:c r="A28" s="31"/>
      <x:c r="B28" s="115"/>
      <x:c r="C28" s="31"/>
      <x:c r="D28" s="31"/>
      <x:c r="E28" s="31"/>
      <x:c r="F28" s="31" t="str">
        <x:v>Operating cash flow</x:v>
      </x:c>
      <x:c r="G28" s="115" t="n">
        <x:f>B8</x:f>
        <x:v>16023000000</x:v>
      </x:c>
    </x:row>
    <x:row r="29" ht="30" customHeight="1">
      <x:c r="A29" s="78" t="str">
        <x:v>Credit capacity, dates kept separate</x:v>
      </x:c>
      <x:c r="B29" s="116" t="str">
        <x:v>USD millions</x:v>
      </x:c>
      <x:c r="C29" s="79" t="str">
        <x:v>Date / expiry</x:v>
      </x:c>
      <x:c r="D29" s="80" t="str">
        <x:v>Availability limitation</x:v>
      </x:c>
      <x:c r="E29" s="31"/>
      <x:c r="F29" s="31" t="str">
        <x:v>Cash PP&amp;E spending</x:v>
      </x:c>
      <x:c r="G29" s="115" t="n">
        <x:f>B9</x:f>
        <x:v>-5259000000</x:v>
      </x:c>
    </x:row>
    <x:row r="30" ht="70" customHeight="1">
      <x:c r="A30" s="52" t="str">
        <x:v>Unused committed facilities</x:v>
      </x:c>
      <x:c r="B30" s="53" t="n">
        <x:f>IF(ISNUMBER('Data'!B58),'Data'!B58,NA())</x:f>
        <x:v>10100000000</x:v>
      </x:c>
      <x:c r="C30" s="95" t="str">
        <x:v>June 30, 2026</x:v>
      </x:c>
      <x:c r="D30" s="55" t="str">
        <x:v>Reported unused, not cash or verified drawable. $10B supports CP and is not added again.</x:v>
      </x:c>
      <x:c r="E30" s="31"/>
      <x:c r="F30" s="31" t="str">
        <x:v>Acquisitions + purchased IPR&amp;D</x:v>
      </x:c>
      <x:c r="G30" s="115" t="n">
        <x:f>-B25</x:f>
        <x:v>-13291000000</x:v>
      </x:c>
    </x:row>
    <x:row r="31" ht="70" customHeight="1">
      <x:c r="A31" s="52" t="str">
        <x:v>364-day facility expires August 2026</x:v>
      </x:c>
      <x:c r="B31" s="53" t="n">
        <x:f>IF(ISNUMBER('Data'!B56),'Data'!B56,NA())</x:f>
        <x:v>6000000000</x:v>
      </x:c>
      <x:c r="C31" s="95" t="str">
        <x:v>August 2026 expiry</x:v>
      </x:c>
      <x:c r="D31" s="55" t="str">
        <x:v>Annual terms: 364-day facility. Exact expiry day and renewal Unavailable; do not carry June capacity past expiry.</x:v>
      </x:c>
      <x:c r="E31" s="31"/>
      <x:c r="F31" s="31" t="str">
        <x:v>Dividends + buybacks</x:v>
      </x:c>
      <x:c r="G31" s="115" t="n">
        <x:f>-B26</x:f>
        <x:v>-7051000000</x:v>
      </x:c>
    </x:row>
    <x:row r="32" ht="70" customHeight="1">
      <x:c r="A32" s="52" t="str">
        <x:v>Facility expires December 2029</x:v>
      </x:c>
      <x:c r="B32" s="53" t="n">
        <x:f>IF(ISNUMBER('Data'!B57),'Data'!B57,NA())</x:f>
        <x:v>4000000000</x:v>
      </x:c>
      <x:c r="C32" s="95" t="str">
        <x:v>December 2029 expiry</x:v>
      </x:c>
      <x:c r="D32" s="55" t="str">
        <x:v>Annual terms only. Exact day, June facility composition, contract conditions and current draws Unavailable.</x:v>
      </x:c>
      <x:c r="E32" s="31"/>
      <x:c r="F32" s="31" t="str">
        <x:v>Net borrowing</x:v>
      </x:c>
      <x:c r="G32" s="115" t="n">
        <x:f>B24</x:f>
        <x:v>12602000000</x:v>
      </x:c>
    </x:row>
    <x:row r="33" ht="70" customHeight="1">
      <x:c r="A33" s="52"/>
      <x:c r="B33" s="117"/>
      <x:c r="C33" s="95"/>
      <x:c r="D33" s="55"/>
      <x:c r="E33" s="31"/>
      <x:c r="F33" s="31" t="str">
        <x:v>Other cash flows including FX</x:v>
      </x:c>
      <x:c r="G33" s="115" t="n">
        <x:f>B17+B18</x:f>
        <x:v>-1342000000</x:v>
      </x:c>
    </x:row>
    <x:row r="34" ht="70" customHeight="1">
      <x:c r="A34" s="52" t="str">
        <x:v>Drawable credit</x:v>
      </x:c>
      <x:c r="B34" s="117" t="str">
        <x:v>Unavailable</x:v>
      </x:c>
      <x:c r="C34" s="95" t="str">
        <x:v>No saved credit agreement</x:v>
      </x:c>
      <x:c r="D34" s="55" t="str">
        <x:v>Draw conditions, covenants, permitted uses and post-August renewal not established. Cash + commitments is not a verified funding total.</x:v>
      </x:c>
      <x:c r="E34" s="31"/>
      <x:c r="F34" s="31"/>
      <x:c r="G34" s="31"/>
    </x:row>
    <x:row r="35" ht="70" customHeight="1">
      <x:c r="A35" s="59" t="str">
        <x:v>December unused capacity</x:v>
      </x:c>
      <x:c r="B35" s="118" t="n">
        <x:f>IF(ISNUMBER('Data'!B55),'Data'!B55,NA())</x:f>
        <x:v>10100000000</x:v>
      </x:c>
      <x:c r="C35" s="97" t="str">
        <x:v>December 31, 2025</x:v>
      </x:c>
      <x:c r="D35" s="62" t="str">
        <x:v>Annual unused total is $10.1B, primarily the $6B and $4B facilities. The residual $0.1B is not separately described.</x:v>
      </x:c>
      <x:c r="E35" s="31"/>
      <x:c r="F35" s="31"/>
      <x:c r="G35" s="31"/>
    </x:row>
    <x:row r="36" ht="30" customHeight="1">
      <x:c r="A36" s="31"/>
      <x:c r="B36" s="115"/>
      <x:c r="C36" s="31"/>
      <x:c r="D36" s="31"/>
      <x:c r="E36" s="31"/>
      <x:c r="F36" s="31"/>
      <x:c r="G36" s="31"/>
    </x:row>
    <x:row r="37" ht="30" customHeight="1">
      <x:c r="A37" s="31"/>
      <x:c r="B37" s="115"/>
      <x:c r="C37" s="31"/>
      <x:c r="D37" s="31"/>
      <x:c r="E37" s="31"/>
      <x:c r="F37" s="31"/>
      <x:c r="G37" s="31"/>
    </x:row>
    <x:row r="38" ht="30" customHeight="1">
      <x:c r="A38" s="78" t="str">
        <x:v>Acquisitions / manufacturing</x:v>
      </x:c>
      <x:c r="B38" s="116" t="str">
        <x:v>USD millions</x:v>
      </x:c>
      <x:c r="C38" s="79" t="str">
        <x:v>Date and classification</x:v>
      </x:c>
      <x:c r="D38" s="80" t="str">
        <x:v>Timing, overlap and funding limitation</x:v>
      </x:c>
      <x:c r="E38" s="31"/>
      <x:c r="F38" s="31"/>
      <x:c r="G38" s="31"/>
    </x:row>
    <x:row r="39" ht="96" customHeight="1">
      <x:c r="A39" s="52" t="str">
        <x:v>Pending AtaiBeckley acquisition</x:v>
      </x:c>
      <x:c r="B39" s="53" t="n">
        <x:f>IF(ISNUMBER('Data'!B60),'Data'!B60,NA())</x:f>
        <x:v>2800000000</x:v>
      </x:c>
      <x:c r="C39" s="95" t="str">
        <x:v>Disclosed August 5, 2026 · Approximate conditional closing payment</x:v>
      </x:c>
      <x:c r="D39" s="55" t="str">
        <x:v>Payable at closing, subject to conditions. Disclosed after quarter end; closing date, completion and funding allocation are not established here.</x:v>
      </x:c>
      <x:c r="E39" s="31"/>
      <x:c r="F39" s="31"/>
      <x:c r="G39" s="31"/>
    </x:row>
    <x:row r="40" ht="96" customHeight="1">
      <x:c r="A40" s="52" t="str">
        <x:v>Unpaid Kelonia cash consideration</x:v>
      </x:c>
      <x:c r="B40" s="53" t="n">
        <x:f>IF(ISNUMBER('Data'!B61),'Data'!B61,NA())</x:f>
        <x:v>208000000</x:v>
      </x:c>
      <x:c r="C40" s="95" t="str">
        <x:v>2026-06-30 · Unpaid acquisition consideration</x:v>
      </x:c>
      <x:c r="D40" s="55" t="str">
        <x:v>Payment date Unavailable. Separate from cash already paid and from contingent-consideration fair value.</x:v>
      </x:c>
      <x:c r="E40" s="31"/>
      <x:c r="F40" s="31"/>
      <x:c r="G40" s="31"/>
    </x:row>
    <x:row r="41" ht="96" customHeight="1">
      <x:c r="A41" s="52" t="str">
        <x:v>Unpaid Centessa cash consideration</x:v>
      </x:c>
      <x:c r="B41" s="53" t="n">
        <x:f>IF(ISNUMBER('Data'!B62),'Data'!B62,NA())</x:f>
        <x:v>88000000</x:v>
      </x:c>
      <x:c r="C41" s="95" t="str">
        <x:v>2026-06-30 · Unpaid acquisition consideration</x:v>
      </x:c>
      <x:c r="D41" s="55" t="str">
        <x:v>Payment date Unavailable. Do not add to paid acquisition cash or contingent-consideration fair value.</x:v>
      </x:c>
      <x:c r="E41" s="31"/>
      <x:c r="F41" s="31"/>
      <x:c r="G41" s="31"/>
    </x:row>
    <x:row r="42" ht="96" customHeight="1">
      <x:c r="A42" s="52" t="str">
        <x:v>July infectious-disease acquisitions: cash paid</x:v>
      </x:c>
      <x:c r="B42" s="53" t="n">
        <x:f>IF(ISNUMBER('Data'!B63),'Data'!B63,NA())</x:f>
        <x:v>2000000000</x:v>
      </x:c>
      <x:c r="C42" s="95" t="str">
        <x:v>July 2026 · Approximate subsequent cash use</x:v>
      </x:c>
      <x:c r="D42" s="55" t="str">
        <x:v>Already paid after June. Other July cash flows are unknown; June cash less this payment is not a current cash balance.</x:v>
      </x:c>
      <x:c r="E42" s="31"/>
      <x:c r="F42" s="31"/>
      <x:c r="G42" s="31"/>
    </x:row>
    <x:row r="43" ht="96" customHeight="1">
      <x:c r="A43" s="52" t="str">
        <x:v>July acquisitions: aggregate consideration up to</x:v>
      </x:c>
      <x:c r="B43" s="53" t="n">
        <x:f>IF(ISNUMBER('Data'!B64),'Data'!B64,NA())</x:f>
        <x:v>3900000000</x:v>
      </x:c>
      <x:c r="C43" s="95" t="str">
        <x:v>July 2026 · Conditional aggregate ceiling</x:v>
      </x:c>
      <x:c r="D43" s="55" t="str">
        <x:v>Includes upfront cash and potential clinical, regulatory and commercial milestones. Includes the approximately $2B paid; do not add the two amounts or infer a precise remaining cash bill.</x:v>
      </x:c>
      <x:c r="E43" s="31"/>
      <x:c r="F43" s="31"/>
      <x:c r="G43" s="31"/>
    </x:row>
    <x:row r="44" ht="96" customHeight="1">
      <x:c r="A44" s="52" t="str">
        <x:v>Unfunded venture fund commitments</x:v>
      </x:c>
      <x:c r="B44" s="53" t="n">
        <x:f>IF(ISNUMBER('Data'!B65),'Data'!B65,NA())</x:f>
        <x:v>806000000</x:v>
      </x:c>
      <x:c r="C44" s="95" t="str">
        <x:v>2026-06-30 · Approximate investment commitment</x:v>
      </x:c>
      <x:c r="D44" s="55" t="str">
        <x:v>Expected to be paid over up to ten years. Individual capital-call dates are Unavailable.</x:v>
      </x:c>
      <x:c r="E44" s="31"/>
      <x:c r="F44" s="31"/>
      <x:c r="G44" s="31"/>
    </x:row>
    <x:row r="45" ht="96" customHeight="1">
      <x:c r="A45" s="52" t="str">
        <x:v>Development-medicine supply arrangements: up to</x:v>
      </x:c>
      <x:c r="B45" s="53" t="n">
        <x:f>IF(ISNUMBER('Data'!B66),'Data'!B66,NA())</x:f>
        <x:v>10000000000</x:v>
      </x:c>
      <x:c r="C45" s="95" t="str">
        <x:v>2025-12-31 · Approximate conditional purchase shortfall ceiling</x:v>
      </x:c>
      <x:c r="D45" s="55" t="str">
        <x:v>Payments if specified purchases are not met under executed manufacturing and supply agreements; durations generally up to eight years. Not an unconditional $10B bill. Updated June ceiling, annual payments and overlap with other spending are Unavailable.</x:v>
      </x:c>
      <x:c r="E45" s="31"/>
      <x:c r="F45" s="31"/>
      <x:c r="G45" s="31"/>
    </x:row>
    <x:row r="46" ht="96" customHeight="1">
      <x:c r="A46" s="59" t="str">
        <x:v>Additional Indiana manufacturing investment</x:v>
      </x:c>
      <x:c r="B46" s="118" t="n">
        <x:f>IF(ISNUMBER('Data'!B67),'Data'!B67,NA())</x:f>
        <x:v>4500000000</x:v>
      </x:c>
      <x:c r="C46" s="97" t="str">
        <x:v>Announced August 5, 2026 · Announced investment commitment</x:v>
      </x:c>
      <x:c r="D46" s="62" t="str">
        <x:v>Release says committed an additional $4.5B. Contractual payment schedule, spending to date and overlap with capex or supply commitments are not established by this release. Not added to debt or the $10B ceiling.</x:v>
      </x:c>
      <x:c r="E46" s="31"/>
      <x:c r="F46" s="31"/>
      <x:c r="G46" s="31"/>
    </x:row>
    <x:row r="47" ht="30" customHeight="1">
      <x:c r="A47" s="31"/>
      <x:c r="B47" s="115"/>
      <x:c r="C47" s="31"/>
      <x:c r="D47" s="31"/>
      <x:c r="E47" s="31"/>
      <x:c r="F47" s="31"/>
      <x:c r="G47" s="31"/>
    </x:row>
    <x:row r="48" ht="68" customHeight="1">
      <x:c r="A48" s="49" t="str">
        <x:v>Contingent consideration fair value</x:v>
      </x:c>
      <x:c r="B48" s="119" t="n">
        <x:f>IF(ISNUMBER('Data'!B41),'Data'!B41,NA())+IF(ISNUMBER('Data'!B42),'Data'!B42,NA())</x:f>
        <x:v>2518000000</x:v>
      </x:c>
      <x:c r="C48" s="50" t="str">
        <x:v>June 30, 2026</x:v>
      </x:c>
      <x:c r="D48" s="51" t="str">
        <x:v>Current $814M + noncurrent $1,704M. Valuation, not dated payment or contractual maximum. Not added to acquisition amounts above.</x:v>
      </x:c>
      <x:c r="E48" s="31"/>
      <x:c r="F48" s="31"/>
      <x:c r="G48" s="31"/>
    </x:row>
    <x:row r="49" ht="68" customHeight="1">
      <x:c r="A49" s="52" t="str">
        <x:v>Future funding coverage</x:v>
      </x:c>
      <x:c r="B49" s="117" t="str">
        <x:v>Unavailable</x:v>
      </x:c>
      <x:c r="C49" s="95" t="str">
        <x:v>Each future obligation</x:v>
      </x:c>
      <x:c r="D49" s="55" t="str">
        <x:v>Future principal dates, future cash generation, payment dates and drawable credit not all established. No coverage ratio calculated.</x:v>
      </x:c>
      <x:c r="E49" s="31"/>
      <x:c r="F49" s="31"/>
      <x:c r="G49" s="31"/>
    </x:row>
    <x:row r="50" ht="68" customHeight="1">
      <x:c r="A50" s="59" t="str">
        <x:v>Scope</x:v>
      </x:c>
      <x:c r="B50" s="120" t="str">
        <x:v>Saved filings only</x:v>
      </x:c>
      <x:c r="C50" s="97" t="str">
        <x:v>10-K; 10-Q; Aug 5 Ex. 99.1</x:v>
      </x:c>
      <x:c r="D50" s="62" t="str">
        <x:v>Not a complete SEC filing inventory. No combined total of commitments, milestones, capex plans or debt.</x:v>
      </x:c>
      <x:c r="E50" s="31"/>
      <x:c r="F50" s="31"/>
      <x:c r="G50" s="31"/>
    </x:row>
    <x:row r="51" ht="30" customHeight="1">
      <x:c r="A51" s="31"/>
      <x:c r="B51" s="115"/>
      <x:c r="C51" s="31"/>
      <x:c r="D51" s="31"/>
      <x:c r="E51" s="31"/>
      <x:c r="F51" s="31"/>
      <x:c r="G51" s="31"/>
    </x:row>
    <x:row r="52" ht="30" customHeight="1">
      <x:c r="A52" s="31"/>
      <x:c r="B52" s="115"/>
      <x:c r="C52" s="31"/>
      <x:c r="D52" s="31"/>
      <x:c r="E52" s="31"/>
      <x:c r="F52" s="31"/>
      <x:c r="G52" s="31"/>
    </x:row>
    <x:row r="53" ht="30" customHeight="1">
      <x:c r="A53" s="78" t="str">
        <x:v>Notes grouped by due year</x:v>
      </x:c>
      <x:c r="B53" s="116" t="str">
        <x:v>USD millions</x:v>
      </x:c>
      <x:c r="C53" s="79" t="str">
        <x:v>Basis date</x:v>
      </x:c>
      <x:c r="D53" s="80" t="str">
        <x:v>Interpretation</x:v>
      </x:c>
      <x:c r="E53" s="31"/>
      <x:c r="F53" s="31"/>
      <x:c r="G53" s="31"/>
    </x:row>
    <x:row r="54" ht="43" customHeight="1">
      <x:c r="A54" s="52" t="str">
        <x:v>Notes due 2026</x:v>
      </x:c>
      <x:c r="B54" s="53" t="n">
        <x:f>IF(ISNUMBER('Data'!B43),'Data'!B43,NA())</x:f>
        <x:v>1632000000</x:v>
      </x:c>
      <x:c r="C54" s="95" t="str">
        <x:v>December 31, 2025</x:v>
      </x:c>
      <x:c r="D54" s="55" t="str">
        <x:v>Historical carrying amount; not principal cash payments. Multi-year groups are combined.</x:v>
      </x:c>
      <x:c r="E54" s="31"/>
      <x:c r="F54" s="31"/>
      <x:c r="G54" s="31"/>
    </x:row>
    <x:row r="55" ht="43" customHeight="1">
      <x:c r="A55" s="52" t="str">
        <x:v>Notes due 2027</x:v>
      </x:c>
      <x:c r="B55" s="53" t="n">
        <x:f>IF(ISNUMBER('Data'!B44),'Data'!B44,NA())</x:f>
        <x:v>2516000000</x:v>
      </x:c>
      <x:c r="C55" s="95" t="str">
        <x:v>December 31, 2025</x:v>
      </x:c>
      <x:c r="D55" s="55" t="str">
        <x:v>Historical carrying amount; not principal cash payments. Multi-year groups are combined.</x:v>
      </x:c>
      <x:c r="E55" s="31"/>
      <x:c r="F55" s="31"/>
      <x:c r="G55" s="31"/>
    </x:row>
    <x:row r="56" ht="43" customHeight="1">
      <x:c r="A56" s="52" t="str">
        <x:v>Notes due 2028</x:v>
      </x:c>
      <x:c r="B56" s="53" t="n">
        <x:f>IF(ISNUMBER('Data'!B45),'Data'!B45,NA())</x:f>
        <x:v>3256000000</x:v>
      </x:c>
      <x:c r="C56" s="95" t="str">
        <x:v>December 31, 2025</x:v>
      </x:c>
      <x:c r="D56" s="55" t="str">
        <x:v>Historical carrying amount; not principal cash payments. Multi-year groups are combined.</x:v>
      </x:c>
      <x:c r="E56" s="31"/>
      <x:c r="F56" s="31"/>
      <x:c r="G56" s="31"/>
    </x:row>
    <x:row r="57" ht="43" customHeight="1">
      <x:c r="A57" s="52" t="str">
        <x:v>Notes due 2029</x:v>
      </x:c>
      <x:c r="B57" s="53" t="n">
        <x:f>IF(ISNUMBER('Data'!B46),'Data'!B46,NA())</x:f>
        <x:v>3077000000</x:v>
      </x:c>
      <x:c r="C57" s="95" t="str">
        <x:v>December 31, 2025</x:v>
      </x:c>
      <x:c r="D57" s="55" t="str">
        <x:v>Historical carrying amount; not principal cash payments. Multi-year groups are combined.</x:v>
      </x:c>
      <x:c r="E57" s="31"/>
      <x:c r="F57" s="31"/>
      <x:c r="G57" s="31"/>
    </x:row>
    <x:row r="58" ht="43" customHeight="1">
      <x:c r="A58" s="52" t="str">
        <x:v>Notes due 2030</x:v>
      </x:c>
      <x:c r="B58" s="53" t="n">
        <x:f>IF(ISNUMBER('Data'!B47),'Data'!B47,NA())</x:f>
        <x:v>2132000000</x:v>
      </x:c>
      <x:c r="C58" s="95" t="str">
        <x:v>December 31, 2025</x:v>
      </x:c>
      <x:c r="D58" s="55" t="str">
        <x:v>Historical carrying amount; not principal cash payments. Multi-year groups are combined.</x:v>
      </x:c>
      <x:c r="E58" s="31"/>
      <x:c r="F58" s="31"/>
      <x:c r="G58" s="31"/>
    </x:row>
    <x:row r="59" ht="43" customHeight="1">
      <x:c r="A59" s="52" t="str">
        <x:v>Notes due 2031–2040</x:v>
      </x:c>
      <x:c r="B59" s="53" t="n">
        <x:f>IF(ISNUMBER('Data'!B48),'Data'!B48,NA())</x:f>
        <x:v>11582000000</x:v>
      </x:c>
      <x:c r="C59" s="95" t="str">
        <x:v>December 31, 2025</x:v>
      </x:c>
      <x:c r="D59" s="55" t="str">
        <x:v>Historical carrying amount; not principal cash payments. Multi-year groups are combined.</x:v>
      </x:c>
      <x:c r="E59" s="31"/>
      <x:c r="F59" s="31"/>
      <x:c r="G59" s="31"/>
    </x:row>
    <x:row r="60" ht="43" customHeight="1">
      <x:c r="A60" s="52" t="str">
        <x:v>Notes due 2041–2050</x:v>
      </x:c>
      <x:c r="B60" s="53" t="n">
        <x:f>IF(ISNUMBER('Data'!B49),'Data'!B49,NA())</x:f>
        <x:v>4543000000</x:v>
      </x:c>
      <x:c r="C60" s="95" t="str">
        <x:v>December 31, 2025</x:v>
      </x:c>
      <x:c r="D60" s="55" t="str">
        <x:v>Historical carrying amount; not principal cash payments. Multi-year groups are combined.</x:v>
      </x:c>
      <x:c r="E60" s="31"/>
      <x:c r="F60" s="31"/>
      <x:c r="G60" s="31"/>
    </x:row>
    <x:row r="61" ht="43" customHeight="1">
      <x:c r="A61" s="52" t="str">
        <x:v>Notes due 2051–2060</x:v>
      </x:c>
      <x:c r="B61" s="53" t="n">
        <x:f>IF(ISNUMBER('Data'!B50),'Data'!B50,NA())</x:f>
        <x:v>8280000000</x:v>
      </x:c>
      <x:c r="C61" s="95" t="str">
        <x:v>December 31, 2025</x:v>
      </x:c>
      <x:c r="D61" s="55" t="str">
        <x:v>Historical carrying amount; not principal cash payments. Multi-year groups are combined.</x:v>
      </x:c>
      <x:c r="E61" s="31"/>
      <x:c r="F61" s="31"/>
      <x:c r="G61" s="31"/>
    </x:row>
    <x:row r="62" ht="43" customHeight="1">
      <x:c r="A62" s="52" t="str">
        <x:v>Notes due 2061–2070</x:v>
      </x:c>
      <x:c r="B62" s="53" t="n">
        <x:f>IF(ISNUMBER('Data'!B51),'Data'!B51,NA())</x:f>
        <x:v>5824000000</x:v>
      </x:c>
      <x:c r="C62" s="95" t="str">
        <x:v>December 31, 2025</x:v>
      </x:c>
      <x:c r="D62" s="55" t="str">
        <x:v>Historical carrying amount; not principal cash payments. Multi-year groups are combined.</x:v>
      </x:c>
      <x:c r="E62" s="31"/>
      <x:c r="F62" s="31"/>
      <x:c r="G62" s="31"/>
    </x:row>
    <x:row r="63" ht="43" customHeight="1">
      <x:c r="A63" s="85" t="str">
        <x:v>Total notes</x:v>
      </x:c>
      <x:c r="B63" s="90" t="n">
        <x:f>SUM(B54:B62)</x:f>
        <x:v>42842000000</x:v>
      </x:c>
      <x:c r="C63" s="105" t="str">
        <x:v>December 31, 2025</x:v>
      </x:c>
      <x:c r="D63" s="88" t="str">
        <x:v>Carrying amount; not payment total.</x:v>
      </x:c>
      <x:c r="E63" s="31"/>
      <x:c r="F63" s="31"/>
      <x:c r="G63" s="31"/>
    </x:row>
    <x:row r="64" ht="43" customHeight="1">
      <x:c r="A64" s="52" t="str">
        <x:v>Other debt and adjustments</x:v>
      </x:c>
      <x:c r="B64" s="53" t="n">
        <x:f>-IF(ISNUMBER('Data'!B52),'Data'!B52,NA())</x:f>
        <x:v>-339000000</x:v>
      </x:c>
      <x:c r="C64" s="95" t="str">
        <x:v>December 31, 2025</x:v>
      </x:c>
      <x:c r="D64" s="55" t="str">
        <x:v>Printed as (339). Tagged +339 source magnitude; presentation coefficient −1.</x:v>
      </x:c>
      <x:c r="E64" s="31"/>
      <x:c r="F64" s="31"/>
      <x:c r="G64" s="31"/>
    </x:row>
    <x:row r="65" ht="43" customHeight="1">
      <x:c r="A65" s="52" t="str">
        <x:v>Commercial paper</x:v>
      </x:c>
      <x:c r="B65" s="53" t="n">
        <x:f>IF(ISNUMBER('Data'!B53),'Data'!B53,NA())</x:f>
        <x:v>0</x:v>
      </x:c>
      <x:c r="C65" s="95" t="str">
        <x:v>December 31, 2025</x:v>
      </x:c>
      <x:c r="D65" s="55" t="str">
        <x:v>Reported zero at December 31, 2025.</x:v>
      </x:c>
      <x:c r="E65" s="31"/>
      <x:c r="F65" s="31"/>
      <x:c r="G65" s="31"/>
    </x:row>
    <x:row r="66" ht="43" customHeight="1">
      <x:c r="A66" s="85" t="str">
        <x:v>Calculated total debt</x:v>
      </x:c>
      <x:c r="B66" s="90" t="n">
        <x:f>SUM(B63:B65)</x:f>
        <x:v>42503000000</x:v>
      </x:c>
      <x:c r="C66" s="105" t="str">
        <x:v>December 31, 2025</x:v>
      </x:c>
      <x:c r="D66" s="88" t="str">
        <x:v>Same annual filing; no roll-forward to June.</x:v>
      </x:c>
      <x:c r="E66" s="31"/>
      <x:c r="F66" s="31"/>
      <x:c r="G66" s="31"/>
    </x:row>
    <x:row r="67" ht="43" customHeight="1">
      <x:c r="A67" s="52" t="str">
        <x:v>Reported total debt</x:v>
      </x:c>
      <x:c r="B67" s="53" t="n">
        <x:f>IF(ISNUMBER('Data'!B54),'Data'!B54,NA())</x:f>
        <x:v>42503000000</x:v>
      </x:c>
      <x:c r="C67" s="95" t="str">
        <x:v>December 31, 2025</x:v>
      </x:c>
      <x:c r="D67" s="55" t="str">
        <x:v>Reconciles to annual balance sheet.</x:v>
      </x:c>
      <x:c r="E67" s="31"/>
      <x:c r="F67" s="31"/>
      <x:c r="G67" s="31"/>
    </x:row>
    <x:row r="68" ht="43" customHeight="1">
      <x:c r="A68" s="110" t="str">
        <x:v>Debt reconciliation difference</x:v>
      </x:c>
      <x:c r="B68" s="114" t="n">
        <x:f>B66-B67</x:f>
        <x:v>0</x:v>
      </x:c>
      <x:c r="C68" s="112" t="str">
        <x:v>December 31, 2025</x:v>
      </x:c>
      <x:c r="D68" s="113" t="str">
        <x:v>Zero = reconciled.</x:v>
      </x:c>
      <x:c r="E68" s="31"/>
      <x:c r="F68" s="31"/>
      <x:c r="G68" s="31"/>
    </x:row>
    <x:row r="69" ht="30" customHeight="1">
      <x:c r="A69" s="31"/>
      <x:c r="B69" s="31"/>
      <x:c r="C69" s="31"/>
      <x:c r="D69" s="31"/>
      <x:c r="E69" s="31"/>
      <x:c r="F69" s="31"/>
      <x:c r="G69" s="31"/>
    </x:row>
    <x:row r="70" ht="80" customHeight="1">
      <x:c r="A70" s="49" t="str">
        <x:v>June 30 principal schedule</x:v>
      </x:c>
      <x:c r="B70" s="50" t="str">
        <x:v>Unavailable</x:v>
      </x:c>
      <x:c r="C70" s="50" t="str">
        <x:v>Updated payment dates missing</x:v>
      </x:c>
      <x:c r="D70" s="51" t="str">
        <x:v>Do not allocate May issuance or H1 repayments to annual buckets. Current borrowing $7.050B is not an instrument-level schedule.</x:v>
      </x:c>
      <x:c r="E70" s="31"/>
      <x:c r="F70" s="31"/>
      <x:c r="G70" s="31"/>
    </x:row>
    <x:row r="71" ht="80" customHeight="1">
      <x:c r="A71" s="59" t="str">
        <x:v>Repayment conclusion</x:v>
      </x:c>
      <x:c r="B71" s="97"/>
      <x:c r="C71" s="97" t="str">
        <x:v>Coverage Unavailable</x:v>
      </x:c>
      <x:c r="D71" s="62" t="str">
        <x:v>H1 cash generation after PP&amp;E was positive; acquisitions and payouts competed for cash. Net borrowing contributed materially. Updated debt dates, draw terms/renewal and payment calendars are needed.</x:v>
      </x:c>
      <x:c r="E71" s="31"/>
      <x:c r="F71" s="31"/>
      <x:c r="G71" s="31"/>
    </x:row>
  </x:sheetData>
  <x:mergeCells>
    <x:mergeCell ref="A4:D4"/>
  </x:mergeCells>
  <x:pageMargins left="0.7" right="0.7" top="0.75" bottom="0.75" header="0.3" footer="0.3"/>
  <x:drawing xmlns:r="http://schemas.openxmlformats.org/officeDocument/2006/relationships" r:id="Rb73ab5a2ae284972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5" hidden="0" customWidth="1"/>
    <x:col min="2" max="2" width="22" hidden="0" customWidth="1"/>
    <x:col min="3" max="3" width="20" hidden="0" customWidth="1"/>
    <x:col min="4" max="4" width="20" hidden="0" customWidth="1"/>
    <x:col min="5" max="5" width="14" hidden="0" customWidth="1"/>
    <x:col min="6" max="6" width="20" hidden="0" customWidth="1"/>
    <x:col min="7" max="7" width="33" hidden="0" customWidth="1"/>
    <x:col min="8" max="8" width="68" hidden="0" customWidth="1"/>
    <x:col min="9" max="9" width="68" hidden="0" customWidth="1"/>
    <x:col min="10" max="10" width="12" hidden="0" customWidth="1"/>
    <x:col min="11" max="11" width="12" hidden="0" customWidth="1"/>
    <x:col min="12" max="12" width="75" hidden="0" customWidth="1"/>
    <x:col min="13" max="13" width="75" hidden="0" customWidth="1"/>
    <x:col min="14" max="14" width="60" hidden="0" customWidth="1"/>
    <x:col min="15" max="15" width="90" hidden="0" customWidth="1"/>
    <x:col min="16" max="16" width="85" hidden="0" customWidth="1"/>
    <x:col min="17" max="17" width="100" hidden="0" customWidth="1"/>
    <x:col min="18" max="18" width="72" hidden="0" customWidth="1"/>
  </x:cols>
  <x:sheetData>
    <x:row r="1" ht="32" customHeight="1">
      <x:c r="A1" s="78" t="str">
        <x:v>Input</x:v>
      </x:c>
      <x:c r="B1" s="79" t="str">
        <x:v>USD millions</x:v>
      </x:c>
      <x:c r="C1" s="79" t="str">
        <x:v>Period start</x:v>
      </x:c>
      <x:c r="D1" s="79" t="str">
        <x:v>Period end</x:v>
      </x:c>
      <x:c r="E1" s="79" t="str">
        <x:v>Form</x:v>
      </x:c>
      <x:c r="F1" s="79" t="str">
        <x:v>Filed</x:v>
      </x:c>
      <x:c r="G1" s="79" t="str">
        <x:v>Accession</x:v>
      </x:c>
      <x:c r="H1" s="79" t="str">
        <x:v>Tag</x:v>
      </x:c>
      <x:c r="I1" s="79" t="str">
        <x:v>Context</x:v>
      </x:c>
      <x:c r="J1" s="79" t="str">
        <x:v>Scale</x:v>
      </x:c>
      <x:c r="K1" s="79" t="str">
        <x:v>Decimals</x:v>
      </x:c>
      <x:c r="L1" s="79" t="str">
        <x:v>Source</x:v>
      </x:c>
      <x:c r="M1" s="79" t="str">
        <x:v>Selection rule</x:v>
      </x:c>
      <x:c r="N1" s="79" t="str">
        <x:v>Unavailable reason</x:v>
      </x:c>
      <x:c r="O1" s="80" t="str">
        <x:v>Notes</x:v>
      </x:c>
      <x:c r="P1" s="31"/>
      <x:c r="Q1" s="31"/>
      <x:c r="R1" s="31"/>
    </x:row>
    <x:row r="2" ht="65" customHeight="1">
      <x:c r="A2" s="52" t="str">
        <x:v>Cash and cash equivalents</x:v>
      </x:c>
      <x:c r="B2" s="94" t="n">
        <x:v>8950000000</x:v>
      </x:c>
      <x:c r="C2" s="54"/>
      <x:c r="D2" s="54" t="d">
        <x:v>2026-06-30T00:00:00.000Z</x:v>
      </x:c>
      <x:c r="E2" s="95" t="str">
        <x:v>10-Q</x:v>
      </x:c>
      <x:c r="F2" s="54" t="d">
        <x:v>2026-08-05T00:00:00.000Z</x:v>
      </x:c>
      <x:c r="G2" s="95" t="str">
        <x:v>0000059478-26-000081</x:v>
      </x:c>
      <x:c r="H2" s="95" t="str">
        <x:v>us-gaap:CashAndCashEquivalentsAtCarryingValue</x:v>
      </x:c>
      <x:c r="I2" s="95"/>
      <x:c r="J2" s="95"/>
      <x:c r="K2" s="95"/>
      <x:c r="L2" s="95" t="str">
        <x:v>https://www.sec.gov/Archives/edgar/data/59478/000005947826000081/lly-20260630.htm</x:v>
      </x:c>
      <x:c r="M2" s="95" t="str">
        <x:v>USD instant at the balance-sheet date, from the latest original 10-K or 10-Q itself</x:v>
      </x:c>
      <x:c r="N2" s="95" t="str"/>
      <x:c r="O2" s="55" t="str"/>
      <x:c r="P2" s="31"/>
      <x:c r="Q2" s="31"/>
      <x:c r="R2" s="31"/>
    </x:row>
    <x:row r="3" ht="65" customHeight="1">
      <x:c r="A3" s="52" t="str">
        <x:v>Short-term borrowings and current maturities of long-term debt</x:v>
      </x:c>
      <x:c r="B3" s="94" t="n">
        <x:v>7050000000</x:v>
      </x:c>
      <x:c r="C3" s="54"/>
      <x:c r="D3" s="54" t="d">
        <x:v>2026-06-30T00:00:00.000Z</x:v>
      </x:c>
      <x:c r="E3" s="95" t="str">
        <x:v>10-Q</x:v>
      </x:c>
      <x:c r="F3" s="54" t="d">
        <x:v>2026-08-05T00:00:00.000Z</x:v>
      </x:c>
      <x:c r="G3" s="95" t="str">
        <x:v>0000059478-26-000081</x:v>
      </x:c>
      <x:c r="H3" s="95" t="str">
        <x:v>us-gaap:DebtCurrent</x:v>
      </x:c>
      <x:c r="I3" s="95"/>
      <x:c r="J3" s="95"/>
      <x:c r="K3" s="95"/>
      <x:c r="L3" s="95" t="str">
        <x:v>https://www.sec.gov/Archives/edgar/data/59478/000005947826000081/lly-20260630.htm</x:v>
      </x:c>
      <x:c r="M3" s="95" t="str">
        <x:v>USD instant at the balance-sheet date, from the latest original 10-K or 10-Q itself</x:v>
      </x:c>
      <x:c r="N3" s="95" t="str"/>
      <x:c r="O3" s="55" t="str"/>
      <x:c r="P3" s="31"/>
      <x:c r="Q3" s="31"/>
      <x:c r="R3" s="31"/>
    </x:row>
    <x:row r="4" ht="65" customHeight="1">
      <x:c r="A4" s="52" t="str">
        <x:v>Long-term debt</x:v>
      </x:c>
      <x:c r="B4" s="94" t="n">
        <x:v>47858000000</x:v>
      </x:c>
      <x:c r="C4" s="54"/>
      <x:c r="D4" s="54" t="d">
        <x:v>2026-06-30T00:00:00.000Z</x:v>
      </x:c>
      <x:c r="E4" s="95" t="str">
        <x:v>10-Q</x:v>
      </x:c>
      <x:c r="F4" s="54" t="d">
        <x:v>2026-08-05T00:00:00.000Z</x:v>
      </x:c>
      <x:c r="G4" s="95" t="str">
        <x:v>0000059478-26-000081</x:v>
      </x:c>
      <x:c r="H4" s="95" t="str">
        <x:v>us-gaap:LongTermDebtNoncurrent</x:v>
      </x:c>
      <x:c r="I4" s="95"/>
      <x:c r="J4" s="95"/>
      <x:c r="K4" s="95"/>
      <x:c r="L4" s="95" t="str">
        <x:v>https://www.sec.gov/Archives/edgar/data/59478/000005947826000081/lly-20260630.htm</x:v>
      </x:c>
      <x:c r="M4" s="95" t="str">
        <x:v>USD instant at the balance-sheet date, from the latest original 10-K or 10-Q itself</x:v>
      </x:c>
      <x:c r="N4" s="95" t="str"/>
      <x:c r="O4" s="55" t="str"/>
      <x:c r="P4" s="31"/>
      <x:c r="Q4" s="31"/>
      <x:c r="R4" s="31"/>
    </x:row>
    <x:row r="5" ht="65" customHeight="1">
      <x:c r="A5" s="52" t="str">
        <x:v>Current liabilities</x:v>
      </x:c>
      <x:c r="B5" s="94" t="n">
        <x:v>47741000000</x:v>
      </x:c>
      <x:c r="C5" s="54"/>
      <x:c r="D5" s="54" t="d">
        <x:v>2026-06-30T00:00:00.000Z</x:v>
      </x:c>
      <x:c r="E5" s="95" t="str">
        <x:v>10-Q</x:v>
      </x:c>
      <x:c r="F5" s="54" t="d">
        <x:v>2026-08-05T00:00:00.000Z</x:v>
      </x:c>
      <x:c r="G5" s="95" t="str">
        <x:v>0000059478-26-000081</x:v>
      </x:c>
      <x:c r="H5" s="95" t="str">
        <x:v>us-gaap:LiabilitiesCurrent</x:v>
      </x:c>
      <x:c r="I5" s="95"/>
      <x:c r="J5" s="95"/>
      <x:c r="K5" s="95"/>
      <x:c r="L5" s="95" t="str">
        <x:v>https://www.sec.gov/Archives/edgar/data/59478/000005947826000081/lly-20260630.htm</x:v>
      </x:c>
      <x:c r="M5" s="95" t="str">
        <x:v>USD instant at the balance-sheet date, from the latest original 10-K or 10-Q itself</x:v>
      </x:c>
      <x:c r="N5" s="95" t="str"/>
      <x:c r="O5" s="55" t="str"/>
      <x:c r="P5" s="31"/>
      <x:c r="Q5" s="31"/>
      <x:c r="R5" s="31"/>
    </x:row>
    <x:row r="6" ht="65" customHeight="1">
      <x:c r="A6" s="52" t="str">
        <x:v>Current assets</x:v>
      </x:c>
      <x:c r="B6" s="94" t="n">
        <x:v>64672000000</x:v>
      </x:c>
      <x:c r="C6" s="54"/>
      <x:c r="D6" s="54" t="d">
        <x:v>2026-06-30T00:00:00.000Z</x:v>
      </x:c>
      <x:c r="E6" s="95" t="str">
        <x:v>10-Q</x:v>
      </x:c>
      <x:c r="F6" s="54" t="d">
        <x:v>2026-08-05T00:00:00.000Z</x:v>
      </x:c>
      <x:c r="G6" s="95" t="str">
        <x:v>0000059478-26-000081</x:v>
      </x:c>
      <x:c r="H6" s="95" t="str">
        <x:v>us-gaap:AssetsCurrent</x:v>
      </x:c>
      <x:c r="I6" s="95"/>
      <x:c r="J6" s="95"/>
      <x:c r="K6" s="95"/>
      <x:c r="L6" s="95" t="str">
        <x:v>https://www.sec.gov/Archives/edgar/data/59478/000005947826000081/lly-20260630.htm</x:v>
      </x:c>
      <x:c r="M6" s="95" t="str">
        <x:v>USD instant at the balance-sheet date, from the latest original 10-K or 10-Q itself</x:v>
      </x:c>
      <x:c r="N6" s="95" t="str"/>
      <x:c r="O6" s="55" t="str"/>
      <x:c r="P6" s="31"/>
      <x:c r="Q6" s="31"/>
      <x:c r="R6" s="31"/>
    </x:row>
    <x:row r="7" ht="65" customHeight="1">
      <x:c r="A7" s="52" t="str">
        <x:v>Operating cash flow · fiscal year</x:v>
      </x:c>
      <x:c r="B7" s="94" t="n">
        <x:v>16813000000</x:v>
      </x:c>
      <x:c r="C7" s="54" t="d">
        <x:v>2025-01-01T00:00:00.000Z</x:v>
      </x:c>
      <x:c r="D7" s="54" t="d">
        <x:v>2025-12-31T00:00:00.000Z</x:v>
      </x:c>
      <x:c r="E7" s="95" t="str">
        <x:v>10-K</x:v>
      </x:c>
      <x:c r="F7" s="54" t="d">
        <x:v>2026-02-12T00:00:00.000Z</x:v>
      </x:c>
      <x:c r="G7" s="95" t="str">
        <x:v>0000059478-26-000013</x:v>
      </x:c>
      <x:c r="H7" s="95" t="str">
        <x:v>us-gaap:NetCashProvidedByUsedInOperatingActivities</x:v>
      </x:c>
      <x:c r="I7" s="95" t="str">
        <x:v>c-1</x:v>
      </x:c>
      <x:c r="J7" s="95" t="n">
        <x:v>6</x:v>
      </x:c>
      <x:c r="K7" s="95" t="str">
        <x:v>-6</x:v>
      </x:c>
      <x:c r="L7" s="95" t="str">
        <x:v>https://www.sec.gov/Archives/edgar/data/59478/000005947826000013/lly-20251231.htm</x:v>
      </x:c>
      <x:c r="M7" s="95" t="str">
        <x:v>Exact tag, USD duration, exact start and end dates, no dimensions</x:v>
      </x:c>
      <x:c r="N7" s="95" t="str"/>
      <x:c r="O7" s="55" t="str"/>
      <x:c r="P7" s="31"/>
      <x:c r="Q7" s="31"/>
      <x:c r="R7" s="31"/>
    </x:row>
    <x:row r="8" ht="65" customHeight="1">
      <x:c r="A8" s="52" t="str">
        <x:v>Operating cash flow · current year to date</x:v>
      </x:c>
      <x:c r="B8" s="94" t="n">
        <x:v>16023000000</x:v>
      </x:c>
      <x:c r="C8" s="54" t="d">
        <x:v>2026-01-01T00:00:00.000Z</x:v>
      </x:c>
      <x:c r="D8" s="54" t="d">
        <x:v>2026-06-30T00:00:00.000Z</x:v>
      </x:c>
      <x:c r="E8" s="95" t="str">
        <x:v>10-Q</x:v>
      </x:c>
      <x:c r="F8" s="54" t="d">
        <x:v>2026-08-05T00:00:00.000Z</x:v>
      </x:c>
      <x:c r="G8" s="95" t="str">
        <x:v>0000059478-26-000081</x:v>
      </x:c>
      <x:c r="H8" s="95" t="str">
        <x:v>us-gaap:NetCashProvidedByUsedInOperatingActivities</x:v>
      </x:c>
      <x:c r="I8" s="95" t="str">
        <x:v>c-1</x:v>
      </x:c>
      <x:c r="J8" s="95" t="n">
        <x:v>6</x:v>
      </x:c>
      <x:c r="K8" s="95" t="str">
        <x:v>-6</x:v>
      </x:c>
      <x:c r="L8" s="95" t="str">
        <x:v>https://www.sec.gov/Archives/edgar/data/59478/000005947826000081/lly-20260630.htm</x:v>
      </x:c>
      <x:c r="M8" s="95" t="str">
        <x:v>Exact tag, USD duration, exact start and end dates, no dimensions</x:v>
      </x:c>
      <x:c r="N8" s="95" t="str"/>
      <x:c r="O8" s="55" t="str"/>
      <x:c r="P8" s="31"/>
      <x:c r="Q8" s="31"/>
      <x:c r="R8" s="31"/>
    </x:row>
    <x:row r="9" ht="65" customHeight="1">
      <x:c r="A9" s="52" t="str">
        <x:v>Operating cash flow · prior year to date</x:v>
      </x:c>
      <x:c r="B9" s="94" t="n">
        <x:v>4753000000</x:v>
      </x:c>
      <x:c r="C9" s="54" t="d">
        <x:v>2025-01-01T00:00:00.000Z</x:v>
      </x:c>
      <x:c r="D9" s="54" t="d">
        <x:v>2025-06-30T00:00:00.000Z</x:v>
      </x:c>
      <x:c r="E9" s="95" t="str">
        <x:v>10-Q</x:v>
      </x:c>
      <x:c r="F9" s="54" t="d">
        <x:v>2026-08-05T00:00:00.000Z</x:v>
      </x:c>
      <x:c r="G9" s="95" t="str">
        <x:v>0000059478-26-000081</x:v>
      </x:c>
      <x:c r="H9" s="95" t="str">
        <x:v>us-gaap:NetCashProvidedByUsedInOperatingActivities</x:v>
      </x:c>
      <x:c r="I9" s="95" t="str">
        <x:v>c-14</x:v>
      </x:c>
      <x:c r="J9" s="95" t="n">
        <x:v>6</x:v>
      </x:c>
      <x:c r="K9" s="95" t="str">
        <x:v>-6</x:v>
      </x:c>
      <x:c r="L9" s="95" t="str">
        <x:v>https://www.sec.gov/Archives/edgar/data/59478/000005947826000081/lly-20260630.htm</x:v>
      </x:c>
      <x:c r="M9" s="95" t="str">
        <x:v>Exact tag, USD duration, exact start and end dates, no dimensions</x:v>
      </x:c>
      <x:c r="N9" s="95" t="str"/>
      <x:c r="O9" s="55" t="str"/>
      <x:c r="P9" s="31"/>
      <x:c r="Q9" s="31"/>
      <x:c r="R9" s="31"/>
    </x:row>
    <x:row r="10" ht="65" customHeight="1">
      <x:c r="A10" s="52" t="str">
        <x:v>Purchases of property and equipment · fiscal year</x:v>
      </x:c>
      <x:c r="B10" s="94" t="n">
        <x:v>7841000000</x:v>
      </x:c>
      <x:c r="C10" s="54" t="d">
        <x:v>2025-01-01T00:00:00.000Z</x:v>
      </x:c>
      <x:c r="D10" s="54" t="d">
        <x:v>2025-12-31T00:00:00.000Z</x:v>
      </x:c>
      <x:c r="E10" s="95" t="str">
        <x:v>10-K</x:v>
      </x:c>
      <x:c r="F10" s="54" t="d">
        <x:v>2026-02-12T00:00:00.000Z</x:v>
      </x:c>
      <x:c r="G10" s="95" t="str">
        <x:v>0000059478-26-000013</x:v>
      </x:c>
      <x:c r="H10" s="95" t="str">
        <x:v>us-gaap:PaymentsToAcquireOtherPropertyPlantAndEquipment</x:v>
      </x:c>
      <x:c r="I10" s="95" t="str">
        <x:v>c-1</x:v>
      </x:c>
      <x:c r="J10" s="95" t="n">
        <x:v>6</x:v>
      </x:c>
      <x:c r="K10" s="95" t="str">
        <x:v>-6</x:v>
      </x:c>
      <x:c r="L10" s="95" t="str">
        <x:v>https://www.sec.gov/Archives/edgar/data/59478/000005947826000013/lly-20251231.htm</x:v>
      </x:c>
      <x:c r="M10" s="95" t="str">
        <x:v>Exact tag, USD duration, exact start and end dates, no dimensions</x:v>
      </x:c>
      <x:c r="N10" s="95" t="str"/>
      <x:c r="O10" s="55" t="str"/>
      <x:c r="P10" s="31"/>
      <x:c r="Q10" s="31"/>
      <x:c r="R10" s="31"/>
    </x:row>
    <x:row r="11" ht="65" customHeight="1">
      <x:c r="A11" s="52" t="str">
        <x:v>Purchases of property and equipment · current year to date</x:v>
      </x:c>
      <x:c r="B11" s="94" t="n">
        <x:v>5259000000</x:v>
      </x:c>
      <x:c r="C11" s="54" t="d">
        <x:v>2026-01-01T00:00:00.000Z</x:v>
      </x:c>
      <x:c r="D11" s="54" t="d">
        <x:v>2026-06-30T00:00:00.000Z</x:v>
      </x:c>
      <x:c r="E11" s="95" t="str">
        <x:v>10-Q</x:v>
      </x:c>
      <x:c r="F11" s="54" t="d">
        <x:v>2026-08-05T00:00:00.000Z</x:v>
      </x:c>
      <x:c r="G11" s="95" t="str">
        <x:v>0000059478-26-000081</x:v>
      </x:c>
      <x:c r="H11" s="95" t="str">
        <x:v>us-gaap:PaymentsToAcquireOtherPropertyPlantAndEquipment</x:v>
      </x:c>
      <x:c r="I11" s="95" t="str">
        <x:v>c-1</x:v>
      </x:c>
      <x:c r="J11" s="95" t="n">
        <x:v>6</x:v>
      </x:c>
      <x:c r="K11" s="95" t="str">
        <x:v>-6</x:v>
      </x:c>
      <x:c r="L11" s="95" t="str">
        <x:v>https://www.sec.gov/Archives/edgar/data/59478/000005947826000081/lly-20260630.htm</x:v>
      </x:c>
      <x:c r="M11" s="95" t="str">
        <x:v>Exact tag, USD duration, exact start and end dates, no dimensions</x:v>
      </x:c>
      <x:c r="N11" s="95" t="str"/>
      <x:c r="O11" s="55" t="str"/>
      <x:c r="P11" s="31"/>
      <x:c r="Q11" s="31"/>
      <x:c r="R11" s="31"/>
    </x:row>
    <x:row r="12" ht="65" customHeight="1">
      <x:c r="A12" s="59" t="str">
        <x:v>Purchases of property and equipment · prior year to date</x:v>
      </x:c>
      <x:c r="B12" s="96" t="n">
        <x:v>3207000000</x:v>
      </x:c>
      <x:c r="C12" s="61" t="d">
        <x:v>2025-01-01T00:00:00.000Z</x:v>
      </x:c>
      <x:c r="D12" s="61" t="d">
        <x:v>2025-06-30T00:00:00.000Z</x:v>
      </x:c>
      <x:c r="E12" s="97" t="str">
        <x:v>10-Q</x:v>
      </x:c>
      <x:c r="F12" s="61" t="d">
        <x:v>2026-08-05T00:00:00.000Z</x:v>
      </x:c>
      <x:c r="G12" s="97" t="str">
        <x:v>0000059478-26-000081</x:v>
      </x:c>
      <x:c r="H12" s="97" t="str">
        <x:v>us-gaap:PaymentsToAcquireOtherPropertyPlantAndEquipment</x:v>
      </x:c>
      <x:c r="I12" s="97" t="str">
        <x:v>c-14</x:v>
      </x:c>
      <x:c r="J12" s="97" t="n">
        <x:v>6</x:v>
      </x:c>
      <x:c r="K12" s="97" t="str">
        <x:v>-6</x:v>
      </x:c>
      <x:c r="L12" s="97" t="str">
        <x:v>https://www.sec.gov/Archives/edgar/data/59478/000005947826000081/lly-20260630.htm</x:v>
      </x:c>
      <x:c r="M12" s="97" t="str">
        <x:v>Exact tag, USD duration, exact start and end dates, no dimensions</x:v>
      </x:c>
      <x:c r="N12" s="97" t="str"/>
      <x:c r="O12" s="62" t="str"/>
      <x:c r="P12" s="31"/>
      <x:c r="Q12" s="31"/>
      <x:c r="R12" s="31"/>
    </x:row>
    <x:row r="13" ht="65" customHeight="1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</x:row>
    <x:row r="14" ht="65" customHeight="1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</x:row>
    <x:row r="15" ht="80" customHeight="1">
      <x:c r="A15" s="78" t="str">
        <x:v>Disclosure</x:v>
      </x:c>
      <x:c r="B15" s="79" t="str">
        <x:v>Amount as disclosed</x:v>
      </x:c>
      <x:c r="C15" s="79" t="str">
        <x:v>As of</x:v>
      </x:c>
      <x:c r="D15" s="79" t="str">
        <x:v>Form</x:v>
      </x:c>
      <x:c r="E15" s="79" t="str">
        <x:v>Filed</x:v>
      </x:c>
      <x:c r="F15" s="79" t="str">
        <x:v>Accession</x:v>
      </x:c>
      <x:c r="G15" s="79" t="str">
        <x:v>Source</x:v>
      </x:c>
      <x:c r="H15" s="79" t="str">
        <x:v>Filing location</x:v>
      </x:c>
      <x:c r="I15" s="80" t="str">
        <x:v>Conditions</x:v>
      </x:c>
      <x:c r="J15" s="31"/>
      <x:c r="K15" s="31"/>
      <x:c r="L15" s="31"/>
      <x:c r="M15" s="31"/>
      <x:c r="N15" s="31"/>
      <x:c r="O15" s="31"/>
      <x:c r="P15" s="31"/>
      <x:c r="Q15" s="31"/>
      <x:c r="R15" s="31"/>
    </x:row>
    <x:row r="16" ht="80" customHeight="1">
      <x:c r="A16" s="52" t="str">
        <x:v>Pending AtaiBeckley acquisition</x:v>
      </x:c>
      <x:c r="B16" s="95" t="str">
        <x:v>Approximately $2.8B</x:v>
      </x:c>
      <x:c r="C16" s="54" t="d">
        <x:v>2026-08-05T00:00:00.000Z</x:v>
      </x:c>
      <x:c r="D16" s="95" t="str">
        <x:v>10-Q</x:v>
      </x:c>
      <x:c r="E16" s="54" t="d">
        <x:v>2026-08-05T00:00:00.000Z</x:v>
      </x:c>
      <x:c r="F16" s="95" t="str">
        <x:v>0000059478-26-000081</x:v>
      </x:c>
      <x:c r="G16" s="95" t="str">
        <x:v>https://www.sec.gov/Archives/edgar/data/59478/000005947826000081/lly-20260630.htm</x:v>
      </x:c>
      <x:c r="H16" s="95" t="str">
        <x:v>10-Q MD&amp;A, p. 31</x:v>
      </x:c>
      <x:c r="I16" s="55" t="str">
        <x:v>Potential payment at closing, subject to closing conditions. Not recognized as borrowing.</x:v>
      </x:c>
      <x:c r="J16" s="31"/>
      <x:c r="K16" s="31"/>
      <x:c r="L16" s="31"/>
      <x:c r="M16" s="31"/>
      <x:c r="N16" s="31"/>
      <x:c r="O16" s="31"/>
      <x:c r="P16" s="31"/>
      <x:c r="Q16" s="31"/>
      <x:c r="R16" s="31"/>
    </x:row>
    <x:row r="17" ht="80" customHeight="1">
      <x:c r="A17" s="59" t="str">
        <x:v>Venture fund commitments</x:v>
      </x:c>
      <x:c r="B17" s="97" t="str">
        <x:v>Approximately $806M</x:v>
      </x:c>
      <x:c r="C17" s="61" t="d">
        <x:v>2026-06-30T00:00:00.000Z</x:v>
      </x:c>
      <x:c r="D17" s="97" t="str">
        <x:v>10-Q</x:v>
      </x:c>
      <x:c r="E17" s="61" t="d">
        <x:v>2026-08-05T00:00:00.000Z</x:v>
      </x:c>
      <x:c r="F17" s="97" t="str">
        <x:v>0000059478-26-000081</x:v>
      </x:c>
      <x:c r="G17" s="97" t="str">
        <x:v>https://www.sec.gov/Archives/edgar/data/59478/000005947826000081/lly-20260630.htm</x:v>
      </x:c>
      <x:c r="H17" s="97" t="str">
        <x:v>10-Q MD&amp;A, p. 31; Note 8</x:v>
      </x:c>
      <x:c r="I17" s="62" t="str">
        <x:v>Expected to be paid over up to ten years. Not recognized as borrowing.</x:v>
      </x:c>
      <x:c r="J17" s="31"/>
      <x:c r="K17" s="31"/>
      <x:c r="L17" s="31"/>
      <x:c r="M17" s="31"/>
      <x:c r="N17" s="31"/>
      <x:c r="O17" s="31"/>
      <x:c r="P17" s="31"/>
      <x:c r="Q17" s="31"/>
      <x:c r="R17" s="31"/>
    </x:row>
    <x:row r="18" ht="65" customHeight="1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</x:row>
    <x:row r="19" ht="65" customHeight="1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</x:row>
    <x:row r="20" ht="85" customHeight="1">
      <x:c r="A20" s="78" t="str">
        <x:v>Review input key</x:v>
      </x:c>
      <x:c r="B20" s="79" t="str">
        <x:v>USD millions</x:v>
      </x:c>
      <x:c r="C20" s="79" t="str">
        <x:v>Label</x:v>
      </x:c>
      <x:c r="D20" s="79" t="str">
        <x:v>Period start</x:v>
      </x:c>
      <x:c r="E20" s="79" t="str">
        <x:v>Date / disclosure basis</x:v>
      </x:c>
      <x:c r="F20" s="79" t="str">
        <x:v>Form</x:v>
      </x:c>
      <x:c r="G20" s="79" t="str">
        <x:v>Filed</x:v>
      </x:c>
      <x:c r="H20" s="79" t="str">
        <x:v>Accession</x:v>
      </x:c>
      <x:c r="I20" s="79" t="str">
        <x:v>Tag</x:v>
      </x:c>
      <x:c r="J20" s="79" t="str">
        <x:v>Context</x:v>
      </x:c>
      <x:c r="K20" s="79" t="str">
        <x:v>Scale</x:v>
      </x:c>
      <x:c r="L20" s="79" t="str">
        <x:v>Decimals</x:v>
      </x:c>
      <x:c r="M20" s="79" t="str">
        <x:v>Source</x:v>
      </x:c>
      <x:c r="N20" s="79" t="str">
        <x:v>Filing location</x:v>
      </x:c>
      <x:c r="O20" s="79" t="str">
        <x:v>Source kind</x:v>
      </x:c>
      <x:c r="P20" s="79" t="str">
        <x:v>Dimensions</x:v>
      </x:c>
      <x:c r="Q20" s="79" t="str">
        <x:v>Limitations</x:v>
      </x:c>
      <x:c r="R20" s="80" t="str">
        <x:v>Reviewed source SHA256</x:v>
      </x:c>
    </x:row>
    <x:row r="21" ht="85" customHeight="1">
      <x:c r="A21" s="52" t="str">
        <x:v>ocf</x:v>
      </x:c>
      <x:c r="B21" s="94" t="n">
        <x:v>16023000000</x:v>
      </x:c>
      <x:c r="C21" s="95" t="str">
        <x:v>Operating cash flow</x:v>
      </x:c>
      <x:c r="D21" s="54" t="d">
        <x:v>2026-01-01T00:00:00.000Z</x:v>
      </x:c>
      <x:c r="E21" s="54" t="d">
        <x:v>2026-06-30T00:00:00.000Z</x:v>
      </x:c>
      <x:c r="F21" s="95" t="str">
        <x:v>10-Q</x:v>
      </x:c>
      <x:c r="G21" s="54" t="d">
        <x:v>2026-08-05T00:00:00.000Z</x:v>
      </x:c>
      <x:c r="H21" s="95" t="str">
        <x:v>0000059478-26-000081</x:v>
      </x:c>
      <x:c r="I21" s="95" t="str">
        <x:v>us-gaap:NetCashProvidedByUsedInOperatingActivities</x:v>
      </x:c>
      <x:c r="J21" s="95" t="str">
        <x:v>c-1</x:v>
      </x:c>
      <x:c r="K21" s="95" t="n">
        <x:v>6</x:v>
      </x:c>
      <x:c r="L21" s="95" t="str">
        <x:v>-6</x:v>
      </x:c>
      <x:c r="M21" s="95" t="str">
        <x:v>https://www.sec.gov/Archives/edgar/data/59478/000005947826000081/lly-20260630.htm</x:v>
      </x:c>
      <x:c r="N21" s="95" t="str">
        <x:v>Cash flows p. 8</x:v>
      </x:c>
      <x:c r="O21" s="95" t="str">
        <x:v>Inline XBRL</x:v>
      </x:c>
      <x:c r="P21" s="95" t="str">
        <x:v>[]</x:v>
      </x:c>
      <x:c r="Q21" s="95" t="str"/>
      <x:c r="R21" s="55" t="str">
        <x:v>8e8f10cf3af98bc12a41985a98cfde9c2b9da8a812af18515d34ce3d8e1c1b3d</x:v>
      </x:c>
    </x:row>
    <x:row r="22" ht="85" customHeight="1">
      <x:c r="A22" s="52" t="str">
        <x:v>capex</x:v>
      </x:c>
      <x:c r="B22" s="94" t="n">
        <x:v>5259000000</x:v>
      </x:c>
      <x:c r="C22" s="95" t="str">
        <x:v>Cash purchases of other PP&amp;E</x:v>
      </x:c>
      <x:c r="D22" s="54" t="d">
        <x:v>2026-01-01T00:00:00.000Z</x:v>
      </x:c>
      <x:c r="E22" s="54" t="d">
        <x:v>2026-06-30T00:00:00.000Z</x:v>
      </x:c>
      <x:c r="F22" s="95" t="str">
        <x:v>10-Q</x:v>
      </x:c>
      <x:c r="G22" s="54" t="d">
        <x:v>2026-08-05T00:00:00.000Z</x:v>
      </x:c>
      <x:c r="H22" s="95" t="str">
        <x:v>0000059478-26-000081</x:v>
      </x:c>
      <x:c r="I22" s="95" t="str">
        <x:v>us-gaap:PaymentsToAcquireOtherPropertyPlantAndEquipment</x:v>
      </x:c>
      <x:c r="J22" s="95" t="str">
        <x:v>c-1</x:v>
      </x:c>
      <x:c r="K22" s="95" t="n">
        <x:v>6</x:v>
      </x:c>
      <x:c r="L22" s="95" t="str">
        <x:v>-6</x:v>
      </x:c>
      <x:c r="M22" s="95" t="str">
        <x:v>https://www.sec.gov/Archives/edgar/data/59478/000005947826000081/lly-20260630.htm</x:v>
      </x:c>
      <x:c r="N22" s="95" t="str">
        <x:v>Cash flows p. 8</x:v>
      </x:c>
      <x:c r="O22" s="95" t="str">
        <x:v>Inline XBRL</x:v>
      </x:c>
      <x:c r="P22" s="95" t="str">
        <x:v>[]</x:v>
      </x:c>
      <x:c r="Q22" s="95" t="str"/>
      <x:c r="R22" s="55" t="str">
        <x:v>8e8f10cf3af98bc12a41985a98cfde9c2b9da8a812af18515d34ce3d8e1c1b3d</x:v>
      </x:c>
    </x:row>
    <x:row r="23" ht="85" customHeight="1">
      <x:c r="A23" s="52" t="str">
        <x:v>investments</x:v>
      </x:c>
      <x:c r="B23" s="94" t="n">
        <x:v>604000000</x:v>
      </x:c>
      <x:c r="C23" s="95" t="str">
        <x:v>Investment purchases</x:v>
      </x:c>
      <x:c r="D23" s="54" t="d">
        <x:v>2026-01-01T00:00:00.000Z</x:v>
      </x:c>
      <x:c r="E23" s="54" t="d">
        <x:v>2026-06-30T00:00:00.000Z</x:v>
      </x:c>
      <x:c r="F23" s="95" t="str">
        <x:v>10-Q</x:v>
      </x:c>
      <x:c r="G23" s="54" t="d">
        <x:v>2026-08-05T00:00:00.000Z</x:v>
      </x:c>
      <x:c r="H23" s="95" t="str">
        <x:v>0000059478-26-000081</x:v>
      </x:c>
      <x:c r="I23" s="95" t="str">
        <x:v>us-gaap:PaymentsToAcquireOtherInvestments</x:v>
      </x:c>
      <x:c r="J23" s="95" t="str">
        <x:v>c-1</x:v>
      </x:c>
      <x:c r="K23" s="95" t="n">
        <x:v>6</x:v>
      </x:c>
      <x:c r="L23" s="95" t="str">
        <x:v>-6</x:v>
      </x:c>
      <x:c r="M23" s="95" t="str">
        <x:v>https://www.sec.gov/Archives/edgar/data/59478/000005947826000081/lly-20260630.htm</x:v>
      </x:c>
      <x:c r="N23" s="95" t="str">
        <x:v>Cash flows p. 8</x:v>
      </x:c>
      <x:c r="O23" s="95" t="str">
        <x:v>Inline XBRL</x:v>
      </x:c>
      <x:c r="P23" s="95" t="str">
        <x:v>[]</x:v>
      </x:c>
      <x:c r="Q23" s="95" t="str"/>
      <x:c r="R23" s="55" t="str">
        <x:v>8e8f10cf3af98bc12a41985a98cfde9c2b9da8a812af18515d34ce3d8e1c1b3d</x:v>
      </x:c>
    </x:row>
    <x:row r="24" ht="85" customHeight="1">
      <x:c r="A24" s="52" t="str">
        <x:v>iprd</x:v>
      </x:c>
      <x:c r="B24" s="94" t="n">
        <x:v>3486000000</x:v>
      </x:c>
      <x:c r="C24" s="95" t="str">
        <x:v>Purchased in-process R&amp;D</x:v>
      </x:c>
      <x:c r="D24" s="54" t="d">
        <x:v>2026-01-01T00:00:00.000Z</x:v>
      </x:c>
      <x:c r="E24" s="54" t="d">
        <x:v>2026-06-30T00:00:00.000Z</x:v>
      </x:c>
      <x:c r="F24" s="95" t="str">
        <x:v>10-Q</x:v>
      </x:c>
      <x:c r="G24" s="54" t="d">
        <x:v>2026-08-05T00:00:00.000Z</x:v>
      </x:c>
      <x:c r="H24" s="95" t="str">
        <x:v>0000059478-26-000081</x:v>
      </x:c>
      <x:c r="I24" s="95" t="str">
        <x:v>us-gaap:PaymentsToAcquireInProcessResearchAndDevelopment</x:v>
      </x:c>
      <x:c r="J24" s="95" t="str">
        <x:v>c-1</x:v>
      </x:c>
      <x:c r="K24" s="95" t="n">
        <x:v>6</x:v>
      </x:c>
      <x:c r="L24" s="95" t="str">
        <x:v>-6</x:v>
      </x:c>
      <x:c r="M24" s="95" t="str">
        <x:v>https://www.sec.gov/Archives/edgar/data/59478/000005947826000081/lly-20260630.htm</x:v>
      </x:c>
      <x:c r="N24" s="95" t="str">
        <x:v>Cash flows p. 8</x:v>
      </x:c>
      <x:c r="O24" s="95" t="str">
        <x:v>Inline XBRL</x:v>
      </x:c>
      <x:c r="P24" s="95" t="str">
        <x:v>[]</x:v>
      </x:c>
      <x:c r="Q24" s="95" t="str"/>
      <x:c r="R24" s="55" t="str">
        <x:v>8e8f10cf3af98bc12a41985a98cfde9c2b9da8a812af18515d34ce3d8e1c1b3d</x:v>
      </x:c>
    </x:row>
    <x:row r="25" ht="85" customHeight="1">
      <x:c r="A25" s="52" t="str">
        <x:v>acquisitions</x:v>
      </x:c>
      <x:c r="B25" s="94" t="n">
        <x:v>9805000000</x:v>
      </x:c>
      <x:c r="C25" s="95" t="str">
        <x:v>Acquisitions, net of cash acquired</x:v>
      </x:c>
      <x:c r="D25" s="54" t="d">
        <x:v>2026-01-01T00:00:00.000Z</x:v>
      </x:c>
      <x:c r="E25" s="54" t="d">
        <x:v>2026-06-30T00:00:00.000Z</x:v>
      </x:c>
      <x:c r="F25" s="95" t="str">
        <x:v>10-Q</x:v>
      </x:c>
      <x:c r="G25" s="54" t="d">
        <x:v>2026-08-05T00:00:00.000Z</x:v>
      </x:c>
      <x:c r="H25" s="95" t="str">
        <x:v>0000059478-26-000081</x:v>
      </x:c>
      <x:c r="I25" s="95" t="str">
        <x:v>us-gaap:OtherPaymentsToAcquireBusinesses</x:v>
      </x:c>
      <x:c r="J25" s="95" t="str">
        <x:v>c-1</x:v>
      </x:c>
      <x:c r="K25" s="95" t="n">
        <x:v>6</x:v>
      </x:c>
      <x:c r="L25" s="95" t="str">
        <x:v>-6</x:v>
      </x:c>
      <x:c r="M25" s="95" t="str">
        <x:v>https://www.sec.gov/Archives/edgar/data/59478/000005947826000081/lly-20260630.htm</x:v>
      </x:c>
      <x:c r="N25" s="95" t="str">
        <x:v>Cash flows p. 8</x:v>
      </x:c>
      <x:c r="O25" s="95" t="str">
        <x:v>Inline XBRL</x:v>
      </x:c>
      <x:c r="P25" s="95" t="str">
        <x:v>[]</x:v>
      </x:c>
      <x:c r="Q25" s="95" t="str"/>
      <x:c r="R25" s="55" t="str">
        <x:v>8e8f10cf3af98bc12a41985a98cfde9c2b9da8a812af18515d34ce3d8e1c1b3d</x:v>
      </x:c>
    </x:row>
    <x:row r="26" ht="85" customHeight="1">
      <x:c r="A26" s="52" t="str">
        <x:v>other_investing</x:v>
      </x:c>
      <x:c r="B26" s="94" t="n">
        <x:v>158000000</x:v>
      </x:c>
      <x:c r="C26" s="95" t="str">
        <x:v>Other investing cash used</x:v>
      </x:c>
      <x:c r="D26" s="54" t="d">
        <x:v>2026-01-01T00:00:00.000Z</x:v>
      </x:c>
      <x:c r="E26" s="54" t="d">
        <x:v>2026-06-30T00:00:00.000Z</x:v>
      </x:c>
      <x:c r="F26" s="95" t="str">
        <x:v>10-Q</x:v>
      </x:c>
      <x:c r="G26" s="54" t="d">
        <x:v>2026-08-05T00:00:00.000Z</x:v>
      </x:c>
      <x:c r="H26" s="95" t="str">
        <x:v>0000059478-26-000081</x:v>
      </x:c>
      <x:c r="I26" s="95" t="str">
        <x:v>us-gaap:PaymentsForProceedsFromOtherInvestingActivities</x:v>
      </x:c>
      <x:c r="J26" s="95" t="str">
        <x:v>c-1</x:v>
      </x:c>
      <x:c r="K26" s="95" t="n">
        <x:v>6</x:v>
      </x:c>
      <x:c r="L26" s="95" t="str">
        <x:v>-6</x:v>
      </x:c>
      <x:c r="M26" s="95" t="str">
        <x:v>https://www.sec.gov/Archives/edgar/data/59478/000005947826000081/lly-20260630.htm</x:v>
      </x:c>
      <x:c r="N26" s="95" t="str">
        <x:v>Cash flows p. 8</x:v>
      </x:c>
      <x:c r="O26" s="95" t="str">
        <x:v>Inline XBRL</x:v>
      </x:c>
      <x:c r="P26" s="95" t="str">
        <x:v>[]</x:v>
      </x:c>
      <x:c r="Q26" s="95" t="str"/>
      <x:c r="R26" s="55" t="str">
        <x:v>8e8f10cf3af98bc12a41985a98cfde9c2b9da8a812af18515d34ce3d8e1c1b3d</x:v>
      </x:c>
    </x:row>
    <x:row r="27" ht="85" customHeight="1">
      <x:c r="A27" s="52" t="str">
        <x:v>investing_total</x:v>
      </x:c>
      <x:c r="B27" s="94" t="n">
        <x:v>-19312000000</x:v>
      </x:c>
      <x:c r="C27" s="95" t="str">
        <x:v>Reported net investing cash flow</x:v>
      </x:c>
      <x:c r="D27" s="54" t="d">
        <x:v>2026-01-01T00:00:00.000Z</x:v>
      </x:c>
      <x:c r="E27" s="54" t="d">
        <x:v>2026-06-30T00:00:00.000Z</x:v>
      </x:c>
      <x:c r="F27" s="95" t="str">
        <x:v>10-Q</x:v>
      </x:c>
      <x:c r="G27" s="54" t="d">
        <x:v>2026-08-05T00:00:00.000Z</x:v>
      </x:c>
      <x:c r="H27" s="95" t="str">
        <x:v>0000059478-26-000081</x:v>
      </x:c>
      <x:c r="I27" s="95" t="str">
        <x:v>us-gaap:NetCashProvidedByUsedInInvestingActivities</x:v>
      </x:c>
      <x:c r="J27" s="95" t="str">
        <x:v>c-1</x:v>
      </x:c>
      <x:c r="K27" s="95" t="n">
        <x:v>6</x:v>
      </x:c>
      <x:c r="L27" s="95" t="str">
        <x:v>-6</x:v>
      </x:c>
      <x:c r="M27" s="95" t="str">
        <x:v>https://www.sec.gov/Archives/edgar/data/59478/000005947826000081/lly-20260630.htm</x:v>
      </x:c>
      <x:c r="N27" s="95" t="str">
        <x:v>Cash flows p. 8</x:v>
      </x:c>
      <x:c r="O27" s="95" t="str">
        <x:v>Inline XBRL</x:v>
      </x:c>
      <x:c r="P27" s="95" t="str">
        <x:v>[]</x:v>
      </x:c>
      <x:c r="Q27" s="95" t="str"/>
      <x:c r="R27" s="55" t="str">
        <x:v>8e8f10cf3af98bc12a41985a98cfde9c2b9da8a812af18515d34ce3d8e1c1b3d</x:v>
      </x:c>
    </x:row>
    <x:row r="28" ht="85" customHeight="1">
      <x:c r="A28" s="52" t="str">
        <x:v>dividends</x:v>
      </x:c>
      <x:c r="B28" s="94" t="n">
        <x:v>3094000000</x:v>
      </x:c>
      <x:c r="C28" s="95" t="str">
        <x:v>Cash dividends</x:v>
      </x:c>
      <x:c r="D28" s="54" t="d">
        <x:v>2026-01-01T00:00:00.000Z</x:v>
      </x:c>
      <x:c r="E28" s="54" t="d">
        <x:v>2026-06-30T00:00:00.000Z</x:v>
      </x:c>
      <x:c r="F28" s="95" t="str">
        <x:v>10-Q</x:v>
      </x:c>
      <x:c r="G28" s="54" t="d">
        <x:v>2026-08-05T00:00:00.000Z</x:v>
      </x:c>
      <x:c r="H28" s="95" t="str">
        <x:v>0000059478-26-000081</x:v>
      </x:c>
      <x:c r="I28" s="95" t="str">
        <x:v>us-gaap:PaymentsOfDividends</x:v>
      </x:c>
      <x:c r="J28" s="95" t="str">
        <x:v>c-1</x:v>
      </x:c>
      <x:c r="K28" s="95" t="n">
        <x:v>6</x:v>
      </x:c>
      <x:c r="L28" s="95" t="str">
        <x:v>-6</x:v>
      </x:c>
      <x:c r="M28" s="95" t="str">
        <x:v>https://www.sec.gov/Archives/edgar/data/59478/000005947826000081/lly-20260630.htm</x:v>
      </x:c>
      <x:c r="N28" s="95" t="str">
        <x:v>Cash flows p. 8</x:v>
      </x:c>
      <x:c r="O28" s="95" t="str">
        <x:v>Inline XBRL</x:v>
      </x:c>
      <x:c r="P28" s="95" t="str">
        <x:v>[]</x:v>
      </x:c>
      <x:c r="Q28" s="95" t="str"/>
      <x:c r="R28" s="55" t="str">
        <x:v>8e8f10cf3af98bc12a41985a98cfde9c2b9da8a812af18515d34ce3d8e1c1b3d</x:v>
      </x:c>
    </x:row>
    <x:row r="29" ht="85" customHeight="1">
      <x:c r="A29" s="52" t="str">
        <x:v>short_debt</x:v>
      </x:c>
      <x:c r="B29" s="94" t="n">
        <x:v>5284000000</x:v>
      </x:c>
      <x:c r="C29" s="95" t="str">
        <x:v>Short-term borrowings, net</x:v>
      </x:c>
      <x:c r="D29" s="54" t="d">
        <x:v>2026-01-01T00:00:00.000Z</x:v>
      </x:c>
      <x:c r="E29" s="54" t="d">
        <x:v>2026-06-30T00:00:00.000Z</x:v>
      </x:c>
      <x:c r="F29" s="95" t="str">
        <x:v>10-Q</x:v>
      </x:c>
      <x:c r="G29" s="54" t="d">
        <x:v>2026-08-05T00:00:00.000Z</x:v>
      </x:c>
      <x:c r="H29" s="95" t="str">
        <x:v>0000059478-26-000081</x:v>
      </x:c>
      <x:c r="I29" s="95" t="str">
        <x:v>us-gaap:ProceedsFromRepaymentsOfShortTermDebt</x:v>
      </x:c>
      <x:c r="J29" s="95" t="str">
        <x:v>c-1</x:v>
      </x:c>
      <x:c r="K29" s="95" t="n">
        <x:v>6</x:v>
      </x:c>
      <x:c r="L29" s="95" t="str">
        <x:v>-6</x:v>
      </x:c>
      <x:c r="M29" s="95" t="str">
        <x:v>https://www.sec.gov/Archives/edgar/data/59478/000005947826000081/lly-20260630.htm</x:v>
      </x:c>
      <x:c r="N29" s="95" t="str">
        <x:v>Cash flows p. 8</x:v>
      </x:c>
      <x:c r="O29" s="95" t="str">
        <x:v>Inline XBRL</x:v>
      </x:c>
      <x:c r="P29" s="95" t="str">
        <x:v>[]</x:v>
      </x:c>
      <x:c r="Q29" s="95" t="str"/>
      <x:c r="R29" s="55" t="str">
        <x:v>8e8f10cf3af98bc12a41985a98cfde9c2b9da8a812af18515d34ce3d8e1c1b3d</x:v>
      </x:c>
    </x:row>
    <x:row r="30" ht="85" customHeight="1">
      <x:c r="A30" s="52" t="str">
        <x:v>long_proceeds</x:v>
      </x:c>
      <x:c r="B30" s="94" t="n">
        <x:v>8941000000</x:v>
      </x:c>
      <x:c r="C30" s="95" t="str">
        <x:v>Long-term borrowing proceeds, net</x:v>
      </x:c>
      <x:c r="D30" s="54" t="d">
        <x:v>2026-01-01T00:00:00.000Z</x:v>
      </x:c>
      <x:c r="E30" s="54" t="d">
        <x:v>2026-06-30T00:00:00.000Z</x:v>
      </x:c>
      <x:c r="F30" s="95" t="str">
        <x:v>10-Q</x:v>
      </x:c>
      <x:c r="G30" s="54" t="d">
        <x:v>2026-08-05T00:00:00.000Z</x:v>
      </x:c>
      <x:c r="H30" s="95" t="str">
        <x:v>0000059478-26-000081</x:v>
      </x:c>
      <x:c r="I30" s="95" t="str">
        <x:v>us-gaap:ProceedsFromIssuanceOfLongTermDebt</x:v>
      </x:c>
      <x:c r="J30" s="95" t="str">
        <x:v>c-1</x:v>
      </x:c>
      <x:c r="K30" s="95" t="n">
        <x:v>6</x:v>
      </x:c>
      <x:c r="L30" s="95" t="str">
        <x:v>-6</x:v>
      </x:c>
      <x:c r="M30" s="95" t="str">
        <x:v>https://www.sec.gov/Archives/edgar/data/59478/000005947826000081/lly-20260630.htm</x:v>
      </x:c>
      <x:c r="N30" s="95" t="str">
        <x:v>Cash flows p. 8</x:v>
      </x:c>
      <x:c r="O30" s="95" t="str">
        <x:v>Inline XBRL</x:v>
      </x:c>
      <x:c r="P30" s="95" t="str">
        <x:v>[]</x:v>
      </x:c>
      <x:c r="Q30" s="95" t="str"/>
      <x:c r="R30" s="55" t="str">
        <x:v>8e8f10cf3af98bc12a41985a98cfde9c2b9da8a812af18515d34ce3d8e1c1b3d</x:v>
      </x:c>
    </x:row>
    <x:row r="31" ht="85" customHeight="1">
      <x:c r="A31" s="52" t="str">
        <x:v>long_repayments</x:v>
      </x:c>
      <x:c r="B31" s="94" t="n">
        <x:v>1623000000</x:v>
      </x:c>
      <x:c r="C31" s="95" t="str">
        <x:v>Long-term debt repaid</x:v>
      </x:c>
      <x:c r="D31" s="54" t="d">
        <x:v>2026-01-01T00:00:00.000Z</x:v>
      </x:c>
      <x:c r="E31" s="54" t="d">
        <x:v>2026-06-30T00:00:00.000Z</x:v>
      </x:c>
      <x:c r="F31" s="95" t="str">
        <x:v>10-Q</x:v>
      </x:c>
      <x:c r="G31" s="54" t="d">
        <x:v>2026-08-05T00:00:00.000Z</x:v>
      </x:c>
      <x:c r="H31" s="95" t="str">
        <x:v>0000059478-26-000081</x:v>
      </x:c>
      <x:c r="I31" s="95" t="str">
        <x:v>us-gaap:RepaymentsOfLongTermDebt</x:v>
      </x:c>
      <x:c r="J31" s="95" t="str">
        <x:v>c-1</x:v>
      </x:c>
      <x:c r="K31" s="95" t="n">
        <x:v>6</x:v>
      </x:c>
      <x:c r="L31" s="95" t="str">
        <x:v>-6</x:v>
      </x:c>
      <x:c r="M31" s="95" t="str">
        <x:v>https://www.sec.gov/Archives/edgar/data/59478/000005947826000081/lly-20260630.htm</x:v>
      </x:c>
      <x:c r="N31" s="95" t="str">
        <x:v>Cash flows p. 8</x:v>
      </x:c>
      <x:c r="O31" s="95" t="str">
        <x:v>Inline XBRL</x:v>
      </x:c>
      <x:c r="P31" s="95" t="str">
        <x:v>[]</x:v>
      </x:c>
      <x:c r="Q31" s="95" t="str"/>
      <x:c r="R31" s="55" t="str">
        <x:v>8e8f10cf3af98bc12a41985a98cfde9c2b9da8a812af18515d34ce3d8e1c1b3d</x:v>
      </x:c>
    </x:row>
    <x:row r="32" ht="85" customHeight="1">
      <x:c r="A32" s="52" t="str">
        <x:v>buybacks</x:v>
      </x:c>
      <x:c r="B32" s="94" t="n">
        <x:v>3957000000</x:v>
      </x:c>
      <x:c r="C32" s="95" t="str">
        <x:v>Share repurchases</x:v>
      </x:c>
      <x:c r="D32" s="54" t="d">
        <x:v>2026-01-01T00:00:00.000Z</x:v>
      </x:c>
      <x:c r="E32" s="54" t="d">
        <x:v>2026-06-30T00:00:00.000Z</x:v>
      </x:c>
      <x:c r="F32" s="95" t="str">
        <x:v>10-Q</x:v>
      </x:c>
      <x:c r="G32" s="54" t="d">
        <x:v>2026-08-05T00:00:00.000Z</x:v>
      </x:c>
      <x:c r="H32" s="95" t="str">
        <x:v>0000059478-26-000081</x:v>
      </x:c>
      <x:c r="I32" s="95" t="str">
        <x:v>us-gaap:PaymentsForRepurchaseOfCommonStock</x:v>
      </x:c>
      <x:c r="J32" s="95" t="str">
        <x:v>c-1</x:v>
      </x:c>
      <x:c r="K32" s="95" t="n">
        <x:v>6</x:v>
      </x:c>
      <x:c r="L32" s="95" t="str">
        <x:v>-6</x:v>
      </x:c>
      <x:c r="M32" s="95" t="str">
        <x:v>https://www.sec.gov/Archives/edgar/data/59478/000005947826000081/lly-20260630.htm</x:v>
      </x:c>
      <x:c r="N32" s="95" t="str">
        <x:v>Cash flows p. 8</x:v>
      </x:c>
      <x:c r="O32" s="95" t="str">
        <x:v>Inline XBRL</x:v>
      </x:c>
      <x:c r="P32" s="95" t="str">
        <x:v>[]</x:v>
      </x:c>
      <x:c r="Q32" s="95" t="str"/>
      <x:c r="R32" s="55" t="str">
        <x:v>8e8f10cf3af98bc12a41985a98cfde9c2b9da8a812af18515d34ce3d8e1c1b3d</x:v>
      </x:c>
    </x:row>
    <x:row r="33" ht="85" customHeight="1">
      <x:c r="A33" s="52" t="str">
        <x:v>other_financing</x:v>
      </x:c>
      <x:c r="B33" s="94" t="n">
        <x:v>-595000000</x:v>
      </x:c>
      <x:c r="C33" s="95" t="str">
        <x:v>Other financing cash flow</x:v>
      </x:c>
      <x:c r="D33" s="54" t="d">
        <x:v>2026-01-01T00:00:00.000Z</x:v>
      </x:c>
      <x:c r="E33" s="54" t="d">
        <x:v>2026-06-30T00:00:00.000Z</x:v>
      </x:c>
      <x:c r="F33" s="95" t="str">
        <x:v>10-Q</x:v>
      </x:c>
      <x:c r="G33" s="54" t="d">
        <x:v>2026-08-05T00:00:00.000Z</x:v>
      </x:c>
      <x:c r="H33" s="95" t="str">
        <x:v>0000059478-26-000081</x:v>
      </x:c>
      <x:c r="I33" s="95" t="str">
        <x:v>us-gaap:ProceedsFromPaymentsForOtherFinancingActivities</x:v>
      </x:c>
      <x:c r="J33" s="95" t="str">
        <x:v>c-1</x:v>
      </x:c>
      <x:c r="K33" s="95" t="n">
        <x:v>6</x:v>
      </x:c>
      <x:c r="L33" s="95" t="str">
        <x:v>-6</x:v>
      </x:c>
      <x:c r="M33" s="95" t="str">
        <x:v>https://www.sec.gov/Archives/edgar/data/59478/000005947826000081/lly-20260630.htm</x:v>
      </x:c>
      <x:c r="N33" s="95" t="str">
        <x:v>Cash flows p. 8</x:v>
      </x:c>
      <x:c r="O33" s="95" t="str">
        <x:v>Inline XBRL</x:v>
      </x:c>
      <x:c r="P33" s="95" t="str">
        <x:v>[]</x:v>
      </x:c>
      <x:c r="Q33" s="95" t="str"/>
      <x:c r="R33" s="55" t="str">
        <x:v>8e8f10cf3af98bc12a41985a98cfde9c2b9da8a812af18515d34ce3d8e1c1b3d</x:v>
      </x:c>
    </x:row>
    <x:row r="34" ht="85" customHeight="1">
      <x:c r="A34" s="52" t="str">
        <x:v>financing_total</x:v>
      </x:c>
      <x:c r="B34" s="94" t="n">
        <x:v>4956000000</x:v>
      </x:c>
      <x:c r="C34" s="95" t="str">
        <x:v>Reported net financing cash flow</x:v>
      </x:c>
      <x:c r="D34" s="54" t="d">
        <x:v>2026-01-01T00:00:00.000Z</x:v>
      </x:c>
      <x:c r="E34" s="54" t="d">
        <x:v>2026-06-30T00:00:00.000Z</x:v>
      </x:c>
      <x:c r="F34" s="95" t="str">
        <x:v>10-Q</x:v>
      </x:c>
      <x:c r="G34" s="54" t="d">
        <x:v>2026-08-05T00:00:00.000Z</x:v>
      </x:c>
      <x:c r="H34" s="95" t="str">
        <x:v>0000059478-26-000081</x:v>
      </x:c>
      <x:c r="I34" s="95" t="str">
        <x:v>us-gaap:NetCashProvidedByUsedInFinancingActivities</x:v>
      </x:c>
      <x:c r="J34" s="95" t="str">
        <x:v>c-1</x:v>
      </x:c>
      <x:c r="K34" s="95" t="n">
        <x:v>6</x:v>
      </x:c>
      <x:c r="L34" s="95" t="str">
        <x:v>-6</x:v>
      </x:c>
      <x:c r="M34" s="95" t="str">
        <x:v>https://www.sec.gov/Archives/edgar/data/59478/000005947826000081/lly-20260630.htm</x:v>
      </x:c>
      <x:c r="N34" s="95" t="str">
        <x:v>Cash flows p. 8</x:v>
      </x:c>
      <x:c r="O34" s="95" t="str">
        <x:v>Inline XBRL</x:v>
      </x:c>
      <x:c r="P34" s="95" t="str">
        <x:v>[]</x:v>
      </x:c>
      <x:c r="Q34" s="95" t="str"/>
      <x:c r="R34" s="55" t="str">
        <x:v>8e8f10cf3af98bc12a41985a98cfde9c2b9da8a812af18515d34ce3d8e1c1b3d</x:v>
      </x:c>
    </x:row>
    <x:row r="35" ht="85" customHeight="1">
      <x:c r="A35" s="52" t="str">
        <x:v>fx</x:v>
      </x:c>
      <x:c r="B35" s="94" t="n">
        <x:v>15000000</x:v>
      </x:c>
      <x:c r="C35" s="95" t="str">
        <x:v>Exchange-rate effect on cash</x:v>
      </x:c>
      <x:c r="D35" s="54" t="d">
        <x:v>2026-01-01T00:00:00.000Z</x:v>
      </x:c>
      <x:c r="E35" s="54" t="d">
        <x:v>2026-06-30T00:00:00.000Z</x:v>
      </x:c>
      <x:c r="F35" s="95" t="str">
        <x:v>10-Q</x:v>
      </x:c>
      <x:c r="G35" s="54" t="d">
        <x:v>2026-08-05T00:00:00.000Z</x:v>
      </x:c>
      <x:c r="H35" s="95" t="str">
        <x:v>0000059478-26-000081</x:v>
      </x:c>
      <x:c r="I35" s="95" t="str">
        <x:v>us-gaap:EffectOfExchangeRateOnCashCashEquivalentsRestrictedCashAndRestrictedCashEquivalents</x:v>
      </x:c>
      <x:c r="J35" s="95" t="str">
        <x:v>c-1</x:v>
      </x:c>
      <x:c r="K35" s="95" t="n">
        <x:v>6</x:v>
      </x:c>
      <x:c r="L35" s="95" t="str">
        <x:v>-6</x:v>
      </x:c>
      <x:c r="M35" s="95" t="str">
        <x:v>https://www.sec.gov/Archives/edgar/data/59478/000005947826000081/lly-20260630.htm</x:v>
      </x:c>
      <x:c r="N35" s="95" t="str">
        <x:v>Cash flows p. 8</x:v>
      </x:c>
      <x:c r="O35" s="95" t="str">
        <x:v>Inline XBRL</x:v>
      </x:c>
      <x:c r="P35" s="95" t="str">
        <x:v>[]</x:v>
      </x:c>
      <x:c r="Q35" s="95" t="str"/>
      <x:c r="R35" s="55" t="str">
        <x:v>8e8f10cf3af98bc12a41985a98cfde9c2b9da8a812af18515d34ce3d8e1c1b3d</x:v>
      </x:c>
    </x:row>
    <x:row r="36" ht="85" customHeight="1">
      <x:c r="A36" s="52" t="str">
        <x:v>change</x:v>
      </x:c>
      <x:c r="B36" s="94" t="n">
        <x:v>1682000000</x:v>
      </x:c>
      <x:c r="C36" s="95" t="str">
        <x:v>Reported cash increase</x:v>
      </x:c>
      <x:c r="D36" s="54" t="d">
        <x:v>2026-01-01T00:00:00.000Z</x:v>
      </x:c>
      <x:c r="E36" s="54" t="d">
        <x:v>2026-06-30T00:00:00.000Z</x:v>
      </x:c>
      <x:c r="F36" s="95" t="str">
        <x:v>10-Q</x:v>
      </x:c>
      <x:c r="G36" s="54" t="d">
        <x:v>2026-08-05T00:00:00.000Z</x:v>
      </x:c>
      <x:c r="H36" s="95" t="str">
        <x:v>0000059478-26-000081</x:v>
      </x:c>
      <x:c r="I36" s="95" t="str">
        <x:v>us-gaap:CashCashEquivalentsRestrictedCashAndRestrictedCashEquivalentsPeriodIncreaseDecreaseIncludingExchangeRateEffect</x:v>
      </x:c>
      <x:c r="J36" s="95" t="str">
        <x:v>c-1</x:v>
      </x:c>
      <x:c r="K36" s="95" t="n">
        <x:v>6</x:v>
      </x:c>
      <x:c r="L36" s="95" t="str">
        <x:v>-6</x:v>
      </x:c>
      <x:c r="M36" s="95" t="str">
        <x:v>https://www.sec.gov/Archives/edgar/data/59478/000005947826000081/lly-20260630.htm</x:v>
      </x:c>
      <x:c r="N36" s="95" t="str">
        <x:v>Cash flows p. 8</x:v>
      </x:c>
      <x:c r="O36" s="95" t="str">
        <x:v>Inline XBRL</x:v>
      </x:c>
      <x:c r="P36" s="95" t="str">
        <x:v>[]</x:v>
      </x:c>
      <x:c r="Q36" s="95" t="str"/>
      <x:c r="R36" s="55" t="str">
        <x:v>8e8f10cf3af98bc12a41985a98cfde9c2b9da8a812af18515d34ce3d8e1c1b3d</x:v>
      </x:c>
    </x:row>
    <x:row r="37" ht="85" customHeight="1">
      <x:c r="A37" s="52" t="str">
        <x:v>opening</x:v>
      </x:c>
      <x:c r="B37" s="94" t="n">
        <x:v>7268000000</x:v>
      </x:c>
      <x:c r="C37" s="95" t="str">
        <x:v>Opening cash and equivalents</x:v>
      </x:c>
      <x:c r="D37" s="54"/>
      <x:c r="E37" s="54" t="d">
        <x:v>2025-12-31T00:00:00.000Z</x:v>
      </x:c>
      <x:c r="F37" s="95" t="str">
        <x:v>10-Q</x:v>
      </x:c>
      <x:c r="G37" s="54" t="d">
        <x:v>2026-08-05T00:00:00.000Z</x:v>
      </x:c>
      <x:c r="H37" s="95" t="str">
        <x:v>0000059478-26-000081</x:v>
      </x:c>
      <x:c r="I37" s="95" t="str">
        <x:v>us-gaap:CashAndCashEquivalentsAtCarryingValue</x:v>
      </x:c>
      <x:c r="J37" s="95" t="str">
        <x:v>c-16</x:v>
      </x:c>
      <x:c r="K37" s="95" t="n">
        <x:v>6</x:v>
      </x:c>
      <x:c r="L37" s="95" t="str">
        <x:v>-6</x:v>
      </x:c>
      <x:c r="M37" s="95" t="str">
        <x:v>https://www.sec.gov/Archives/edgar/data/59478/000005947826000081/lly-20260630.htm</x:v>
      </x:c>
      <x:c r="N37" s="95" t="str">
        <x:v>Balance sheet p. 7; cash flows p. 8</x:v>
      </x:c>
      <x:c r="O37" s="95" t="str">
        <x:v>Inline XBRL</x:v>
      </x:c>
      <x:c r="P37" s="95" t="str">
        <x:v>[]</x:v>
      </x:c>
      <x:c r="Q37" s="95" t="str"/>
      <x:c r="R37" s="55" t="str">
        <x:v>8e8f10cf3af98bc12a41985a98cfde9c2b9da8a812af18515d34ce3d8e1c1b3d</x:v>
      </x:c>
    </x:row>
    <x:row r="38" ht="85" customHeight="1">
      <x:c r="A38" s="52" t="str">
        <x:v>closing</x:v>
      </x:c>
      <x:c r="B38" s="94" t="n">
        <x:v>8950000000</x:v>
      </x:c>
      <x:c r="C38" s="95" t="str">
        <x:v>Closing cash and equivalents</x:v>
      </x:c>
      <x:c r="D38" s="54"/>
      <x:c r="E38" s="54" t="d">
        <x:v>2026-06-30T00:00:00.000Z</x:v>
      </x:c>
      <x:c r="F38" s="95" t="str">
        <x:v>10-Q</x:v>
      </x:c>
      <x:c r="G38" s="54" t="d">
        <x:v>2026-08-05T00:00:00.000Z</x:v>
      </x:c>
      <x:c r="H38" s="95" t="str">
        <x:v>0000059478-26-000081</x:v>
      </x:c>
      <x:c r="I38" s="95" t="str">
        <x:v>us-gaap:CashAndCashEquivalentsAtCarryingValue</x:v>
      </x:c>
      <x:c r="J38" s="95" t="str">
        <x:v>c-15</x:v>
      </x:c>
      <x:c r="K38" s="95" t="n">
        <x:v>6</x:v>
      </x:c>
      <x:c r="L38" s="95" t="str">
        <x:v>-6</x:v>
      </x:c>
      <x:c r="M38" s="95" t="str">
        <x:v>https://www.sec.gov/Archives/edgar/data/59478/000005947826000081/lly-20260630.htm</x:v>
      </x:c>
      <x:c r="N38" s="95" t="str">
        <x:v>Balance sheet p. 7; cash flows p. 8</x:v>
      </x:c>
      <x:c r="O38" s="95" t="str">
        <x:v>Inline XBRL</x:v>
      </x:c>
      <x:c r="P38" s="95" t="str">
        <x:v>[]</x:v>
      </x:c>
      <x:c r="Q38" s="95" t="str"/>
      <x:c r="R38" s="55" t="str">
        <x:v>8e8f10cf3af98bc12a41985a98cfde9c2b9da8a812af18515d34ce3d8e1c1b3d</x:v>
      </x:c>
    </x:row>
    <x:row r="39" ht="85" customHeight="1">
      <x:c r="A39" s="52" t="str">
        <x:v>current_debt</x:v>
      </x:c>
      <x:c r="B39" s="94" t="n">
        <x:v>7050000000</x:v>
      </x:c>
      <x:c r="C39" s="95" t="str">
        <x:v>Current borrowing</x:v>
      </x:c>
      <x:c r="D39" s="54"/>
      <x:c r="E39" s="54" t="d">
        <x:v>2026-06-30T00:00:00.000Z</x:v>
      </x:c>
      <x:c r="F39" s="95" t="str">
        <x:v>10-Q</x:v>
      </x:c>
      <x:c r="G39" s="54" t="d">
        <x:v>2026-08-05T00:00:00.000Z</x:v>
      </x:c>
      <x:c r="H39" s="95" t="str">
        <x:v>0000059478-26-000081</x:v>
      </x:c>
      <x:c r="I39" s="95" t="str">
        <x:v>us-gaap:DebtCurrent</x:v>
      </x:c>
      <x:c r="J39" s="95" t="str">
        <x:v>c-15</x:v>
      </x:c>
      <x:c r="K39" s="95" t="n">
        <x:v>6</x:v>
      </x:c>
      <x:c r="L39" s="95" t="str">
        <x:v>-6</x:v>
      </x:c>
      <x:c r="M39" s="95" t="str">
        <x:v>https://www.sec.gov/Archives/edgar/data/59478/000005947826000081/lly-20260630.htm</x:v>
      </x:c>
      <x:c r="N39" s="95" t="str">
        <x:v>Balance sheet p. 7</x:v>
      </x:c>
      <x:c r="O39" s="95" t="str">
        <x:v>Inline XBRL</x:v>
      </x:c>
      <x:c r="P39" s="95" t="str">
        <x:v>[]</x:v>
      </x:c>
      <x:c r="Q39" s="95" t="str"/>
      <x:c r="R39" s="55" t="str">
        <x:v>8e8f10cf3af98bc12a41985a98cfde9c2b9da8a812af18515d34ce3d8e1c1b3d</x:v>
      </x:c>
    </x:row>
    <x:row r="40" ht="85" customHeight="1">
      <x:c r="A40" s="52" t="str">
        <x:v>noncurrent_debt</x:v>
      </x:c>
      <x:c r="B40" s="94" t="n">
        <x:v>47858000000</x:v>
      </x:c>
      <x:c r="C40" s="95" t="str">
        <x:v>Noncurrent borrowing</x:v>
      </x:c>
      <x:c r="D40" s="54"/>
      <x:c r="E40" s="54" t="d">
        <x:v>2026-06-30T00:00:00.000Z</x:v>
      </x:c>
      <x:c r="F40" s="95" t="str">
        <x:v>10-Q</x:v>
      </x:c>
      <x:c r="G40" s="54" t="d">
        <x:v>2026-08-05T00:00:00.000Z</x:v>
      </x:c>
      <x:c r="H40" s="95" t="str">
        <x:v>0000059478-26-000081</x:v>
      </x:c>
      <x:c r="I40" s="95" t="str">
        <x:v>us-gaap:LongTermDebtNoncurrent</x:v>
      </x:c>
      <x:c r="J40" s="95" t="str">
        <x:v>c-15</x:v>
      </x:c>
      <x:c r="K40" s="95" t="n">
        <x:v>6</x:v>
      </x:c>
      <x:c r="L40" s="95" t="str">
        <x:v>-6</x:v>
      </x:c>
      <x:c r="M40" s="95" t="str">
        <x:v>https://www.sec.gov/Archives/edgar/data/59478/000005947826000081/lly-20260630.htm</x:v>
      </x:c>
      <x:c r="N40" s="95" t="str">
        <x:v>Balance sheet p. 7</x:v>
      </x:c>
      <x:c r="O40" s="95" t="str">
        <x:v>Inline XBRL</x:v>
      </x:c>
      <x:c r="P40" s="95" t="str">
        <x:v>[]</x:v>
      </x:c>
      <x:c r="Q40" s="95" t="str"/>
      <x:c r="R40" s="55" t="str">
        <x:v>8e8f10cf3af98bc12a41985a98cfde9c2b9da8a812af18515d34ce3d8e1c1b3d</x:v>
      </x:c>
    </x:row>
    <x:row r="41" ht="85" customHeight="1">
      <x:c r="A41" s="52" t="str">
        <x:v>contingent_current</x:v>
      </x:c>
      <x:c r="B41" s="94" t="n">
        <x:v>814000000</x:v>
      </x:c>
      <x:c r="C41" s="95" t="str">
        <x:v>Contingent consideration fair value: current</x:v>
      </x:c>
      <x:c r="D41" s="54"/>
      <x:c r="E41" s="54" t="d">
        <x:v>2026-06-30T00:00:00.000Z</x:v>
      </x:c>
      <x:c r="F41" s="95" t="str">
        <x:v>10-Q</x:v>
      </x:c>
      <x:c r="G41" s="54" t="d">
        <x:v>2026-08-05T00:00:00.000Z</x:v>
      </x:c>
      <x:c r="H41" s="95" t="str">
        <x:v>0000059478-26-000081</x:v>
      </x:c>
      <x:c r="I41" s="95" t="str">
        <x:v>us-gaap:BusinessCombinationContingentConsiderationLiabilityCurrent</x:v>
      </x:c>
      <x:c r="J41" s="95" t="str">
        <x:v>c-301</x:v>
      </x:c>
      <x:c r="K41" s="95" t="n">
        <x:v>6</x:v>
      </x:c>
      <x:c r="L41" s="95" t="str">
        <x:v>-6</x:v>
      </x:c>
      <x:c r="M41" s="95" t="str">
        <x:v>https://www.sec.gov/Archives/edgar/data/59478/000005947826000081/lly-20260630.htm</x:v>
      </x:c>
      <x:c r="N41" s="95" t="str">
        <x:v>Note 8 p. 17</x:v>
      </x:c>
      <x:c r="O41" s="95" t="str">
        <x:v>Inline XBRL</x:v>
      </x:c>
      <x:c r="P41" s="95" t="str">
        <x:v>[["us-gaap:FairValueByFairValueHierarchyLevelAxis","us-gaap:FairValueInputsLevel3Member"]]</x:v>
      </x:c>
      <x:c r="Q41" s="95" t="str"/>
      <x:c r="R41" s="55" t="str">
        <x:v>8e8f10cf3af98bc12a41985a98cfde9c2b9da8a812af18515d34ce3d8e1c1b3d</x:v>
      </x:c>
    </x:row>
    <x:row r="42" ht="85" customHeight="1">
      <x:c r="A42" s="52" t="str">
        <x:v>contingent_noncurrent</x:v>
      </x:c>
      <x:c r="B42" s="94" t="n">
        <x:v>1704000000</x:v>
      </x:c>
      <x:c r="C42" s="95" t="str">
        <x:v>Contingent consideration fair value: noncurrent</x:v>
      </x:c>
      <x:c r="D42" s="54"/>
      <x:c r="E42" s="54" t="d">
        <x:v>2026-06-30T00:00:00.000Z</x:v>
      </x:c>
      <x:c r="F42" s="95" t="str">
        <x:v>10-Q</x:v>
      </x:c>
      <x:c r="G42" s="54" t="d">
        <x:v>2026-08-05T00:00:00.000Z</x:v>
      </x:c>
      <x:c r="H42" s="95" t="str">
        <x:v>0000059478-26-000081</x:v>
      </x:c>
      <x:c r="I42" s="95" t="str">
        <x:v>us-gaap:BusinessCombinationContingentConsiderationLiabilityNoncurrent</x:v>
      </x:c>
      <x:c r="J42" s="95" t="str">
        <x:v>c-301</x:v>
      </x:c>
      <x:c r="K42" s="95" t="n">
        <x:v>6</x:v>
      </x:c>
      <x:c r="L42" s="95" t="str">
        <x:v>-6</x:v>
      </x:c>
      <x:c r="M42" s="95" t="str">
        <x:v>https://www.sec.gov/Archives/edgar/data/59478/000005947826000081/lly-20260630.htm</x:v>
      </x:c>
      <x:c r="N42" s="95" t="str">
        <x:v>Note 8 p. 17</x:v>
      </x:c>
      <x:c r="O42" s="95" t="str">
        <x:v>Inline XBRL</x:v>
      </x:c>
      <x:c r="P42" s="95" t="str">
        <x:v>[["us-gaap:FairValueByFairValueHierarchyLevelAxis","us-gaap:FairValueInputsLevel3Member"]]</x:v>
      </x:c>
      <x:c r="Q42" s="95" t="str"/>
      <x:c r="R42" s="55" t="str">
        <x:v>8e8f10cf3af98bc12a41985a98cfde9c2b9da8a812af18515d34ce3d8e1c1b3d</x:v>
      </x:c>
    </x:row>
    <x:row r="43" ht="85" customHeight="1">
      <x:c r="A43" s="52" t="str">
        <x:v>notes_2026</x:v>
      </x:c>
      <x:c r="B43" s="94" t="n">
        <x:v>1632000000</x:v>
      </x:c>
      <x:c r="C43" s="95" t="str">
        <x:v>Notes due 2026</x:v>
      </x:c>
      <x:c r="D43" s="54"/>
      <x:c r="E43" s="54" t="d">
        <x:v>2025-12-31T00:00:00.000Z</x:v>
      </x:c>
      <x:c r="F43" s="95" t="str">
        <x:v>10-K</x:v>
      </x:c>
      <x:c r="G43" s="54" t="d">
        <x:v>2026-02-12T00:00:00.000Z</x:v>
      </x:c>
      <x:c r="H43" s="95" t="str">
        <x:v>0000059478-26-000013</x:v>
      </x:c>
      <x:c r="I43" s="95" t="str">
        <x:v>us-gaap:DebtInstrumentCarryingAmount</x:v>
      </x:c>
      <x:c r="J43" s="95" t="str">
        <x:v>c-297</x:v>
      </x:c>
      <x:c r="K43" s="95" t="n">
        <x:v>6</x:v>
      </x:c>
      <x:c r="L43" s="95" t="str">
        <x:v>-6</x:v>
      </x:c>
      <x:c r="M43" s="95" t="str">
        <x:v>https://www.sec.gov/Archives/edgar/data/59478/000005947826000013/lly-20251231.htm</x:v>
      </x:c>
      <x:c r="N43" s="95" t="str">
        <x:v>Note 11 p. 76</x:v>
      </x:c>
      <x:c r="O43" s="95" t="str">
        <x:v>Inline XBRL</x:v>
      </x:c>
      <x:c r="P43" s="95" t="str">
        <x:v>[["us-gaap:DebtInstrumentAxis","lly:NotesDue2026Member"]]</x:v>
      </x:c>
      <x:c r="Q43" s="95" t="str"/>
      <x:c r="R43" s="55" t="str">
        <x:v>d45f8d1e0945df0b7b30254e96ff8c5dbd1df7d15b17c8ef7399c8e0206b7d7f</x:v>
      </x:c>
    </x:row>
    <x:row r="44" ht="85" customHeight="1">
      <x:c r="A44" s="52" t="str">
        <x:v>notes_2027</x:v>
      </x:c>
      <x:c r="B44" s="94" t="n">
        <x:v>2516000000</x:v>
      </x:c>
      <x:c r="C44" s="95" t="str">
        <x:v>Notes due 2027</x:v>
      </x:c>
      <x:c r="D44" s="54"/>
      <x:c r="E44" s="54" t="d">
        <x:v>2025-12-31T00:00:00.000Z</x:v>
      </x:c>
      <x:c r="F44" s="95" t="str">
        <x:v>10-K</x:v>
      </x:c>
      <x:c r="G44" s="54" t="d">
        <x:v>2026-02-12T00:00:00.000Z</x:v>
      </x:c>
      <x:c r="H44" s="95" t="str">
        <x:v>0000059478-26-000013</x:v>
      </x:c>
      <x:c r="I44" s="95" t="str">
        <x:v>us-gaap:DebtInstrumentCarryingAmount</x:v>
      </x:c>
      <x:c r="J44" s="95" t="str">
        <x:v>c-301</x:v>
      </x:c>
      <x:c r="K44" s="95" t="n">
        <x:v>6</x:v>
      </x:c>
      <x:c r="L44" s="95" t="str">
        <x:v>-6</x:v>
      </x:c>
      <x:c r="M44" s="95" t="str">
        <x:v>https://www.sec.gov/Archives/edgar/data/59478/000005947826000013/lly-20251231.htm</x:v>
      </x:c>
      <x:c r="N44" s="95" t="str">
        <x:v>Note 11 p. 76</x:v>
      </x:c>
      <x:c r="O44" s="95" t="str">
        <x:v>Inline XBRL</x:v>
      </x:c>
      <x:c r="P44" s="95" t="str">
        <x:v>[["us-gaap:DebtInstrumentAxis","lly:NotesDue2027Member"]]</x:v>
      </x:c>
      <x:c r="Q44" s="95" t="str"/>
      <x:c r="R44" s="55" t="str">
        <x:v>d45f8d1e0945df0b7b30254e96ff8c5dbd1df7d15b17c8ef7399c8e0206b7d7f</x:v>
      </x:c>
    </x:row>
    <x:row r="45" ht="85" customHeight="1">
      <x:c r="A45" s="52" t="str">
        <x:v>notes_2028</x:v>
      </x:c>
      <x:c r="B45" s="94" t="n">
        <x:v>3256000000</x:v>
      </x:c>
      <x:c r="C45" s="95" t="str">
        <x:v>Notes due 2028</x:v>
      </x:c>
      <x:c r="D45" s="54"/>
      <x:c r="E45" s="54" t="d">
        <x:v>2025-12-31T00:00:00.000Z</x:v>
      </x:c>
      <x:c r="F45" s="95" t="str">
        <x:v>10-K</x:v>
      </x:c>
      <x:c r="G45" s="54" t="d">
        <x:v>2026-02-12T00:00:00.000Z</x:v>
      </x:c>
      <x:c r="H45" s="95" t="str">
        <x:v>0000059478-26-000013</x:v>
      </x:c>
      <x:c r="I45" s="95" t="str">
        <x:v>us-gaap:DebtInstrumentCarryingAmount</x:v>
      </x:c>
      <x:c r="J45" s="95" t="str">
        <x:v>c-305</x:v>
      </x:c>
      <x:c r="K45" s="95" t="n">
        <x:v>6</x:v>
      </x:c>
      <x:c r="L45" s="95" t="str">
        <x:v>-6</x:v>
      </x:c>
      <x:c r="M45" s="95" t="str">
        <x:v>https://www.sec.gov/Archives/edgar/data/59478/000005947826000013/lly-20251231.htm</x:v>
      </x:c>
      <x:c r="N45" s="95" t="str">
        <x:v>Note 11 p. 76</x:v>
      </x:c>
      <x:c r="O45" s="95" t="str">
        <x:v>Inline XBRL</x:v>
      </x:c>
      <x:c r="P45" s="95" t="str">
        <x:v>[["us-gaap:DebtInstrumentAxis","lly:NotesDue2028Member"]]</x:v>
      </x:c>
      <x:c r="Q45" s="95" t="str"/>
      <x:c r="R45" s="55" t="str">
        <x:v>d45f8d1e0945df0b7b30254e96ff8c5dbd1df7d15b17c8ef7399c8e0206b7d7f</x:v>
      </x:c>
    </x:row>
    <x:row r="46" ht="85" customHeight="1">
      <x:c r="A46" s="52" t="str">
        <x:v>notes_2029</x:v>
      </x:c>
      <x:c r="B46" s="94" t="n">
        <x:v>3077000000</x:v>
      </x:c>
      <x:c r="C46" s="95" t="str">
        <x:v>Notes due 2029</x:v>
      </x:c>
      <x:c r="D46" s="54"/>
      <x:c r="E46" s="54" t="d">
        <x:v>2025-12-31T00:00:00.000Z</x:v>
      </x:c>
      <x:c r="F46" s="95" t="str">
        <x:v>10-K</x:v>
      </x:c>
      <x:c r="G46" s="54" t="d">
        <x:v>2026-02-12T00:00:00.000Z</x:v>
      </x:c>
      <x:c r="H46" s="95" t="str">
        <x:v>0000059478-26-000013</x:v>
      </x:c>
      <x:c r="I46" s="95" t="str">
        <x:v>us-gaap:DebtInstrumentCarryingAmount</x:v>
      </x:c>
      <x:c r="J46" s="95" t="str">
        <x:v>c-309</x:v>
      </x:c>
      <x:c r="K46" s="95" t="n">
        <x:v>6</x:v>
      </x:c>
      <x:c r="L46" s="95" t="str">
        <x:v>-6</x:v>
      </x:c>
      <x:c r="M46" s="95" t="str">
        <x:v>https://www.sec.gov/Archives/edgar/data/59478/000005947826000013/lly-20251231.htm</x:v>
      </x:c>
      <x:c r="N46" s="95" t="str">
        <x:v>Note 11 p. 76</x:v>
      </x:c>
      <x:c r="O46" s="95" t="str">
        <x:v>Inline XBRL</x:v>
      </x:c>
      <x:c r="P46" s="95" t="str">
        <x:v>[["us-gaap:DebtInstrumentAxis","lly:NotesDue2029Member"]]</x:v>
      </x:c>
      <x:c r="Q46" s="95" t="str"/>
      <x:c r="R46" s="55" t="str">
        <x:v>d45f8d1e0945df0b7b30254e96ff8c5dbd1df7d15b17c8ef7399c8e0206b7d7f</x:v>
      </x:c>
    </x:row>
    <x:row r="47" ht="85" customHeight="1">
      <x:c r="A47" s="52" t="str">
        <x:v>notes_2030</x:v>
      </x:c>
      <x:c r="B47" s="94" t="n">
        <x:v>2132000000</x:v>
      </x:c>
      <x:c r="C47" s="95" t="str">
        <x:v>Notes due 2030</x:v>
      </x:c>
      <x:c r="D47" s="54"/>
      <x:c r="E47" s="54" t="d">
        <x:v>2025-12-31T00:00:00.000Z</x:v>
      </x:c>
      <x:c r="F47" s="95" t="str">
        <x:v>10-K</x:v>
      </x:c>
      <x:c r="G47" s="54" t="d">
        <x:v>2026-02-12T00:00:00.000Z</x:v>
      </x:c>
      <x:c r="H47" s="95" t="str">
        <x:v>0000059478-26-000013</x:v>
      </x:c>
      <x:c r="I47" s="95" t="str">
        <x:v>us-gaap:DebtInstrumentCarryingAmount</x:v>
      </x:c>
      <x:c r="J47" s="95" t="str">
        <x:v>c-313</x:v>
      </x:c>
      <x:c r="K47" s="95" t="n">
        <x:v>6</x:v>
      </x:c>
      <x:c r="L47" s="95" t="str">
        <x:v>-6</x:v>
      </x:c>
      <x:c r="M47" s="95" t="str">
        <x:v>https://www.sec.gov/Archives/edgar/data/59478/000005947826000013/lly-20251231.htm</x:v>
      </x:c>
      <x:c r="N47" s="95" t="str">
        <x:v>Note 11 p. 76</x:v>
      </x:c>
      <x:c r="O47" s="95" t="str">
        <x:v>Inline XBRL</x:v>
      </x:c>
      <x:c r="P47" s="95" t="str">
        <x:v>[["us-gaap:DebtInstrumentAxis","lly:NotesDue2030Member"]]</x:v>
      </x:c>
      <x:c r="Q47" s="95" t="str"/>
      <x:c r="R47" s="55" t="str">
        <x:v>d45f8d1e0945df0b7b30254e96ff8c5dbd1df7d15b17c8ef7399c8e0206b7d7f</x:v>
      </x:c>
    </x:row>
    <x:row r="48" ht="85" customHeight="1">
      <x:c r="A48" s="52" t="str">
        <x:v>notes_20312040</x:v>
      </x:c>
      <x:c r="B48" s="94" t="n">
        <x:v>11582000000</x:v>
      </x:c>
      <x:c r="C48" s="95" t="str">
        <x:v>Notes due 2031–2040</x:v>
      </x:c>
      <x:c r="D48" s="54"/>
      <x:c r="E48" s="54" t="d">
        <x:v>2025-12-31T00:00:00.000Z</x:v>
      </x:c>
      <x:c r="F48" s="95" t="str">
        <x:v>10-K</x:v>
      </x:c>
      <x:c r="G48" s="54" t="d">
        <x:v>2026-02-12T00:00:00.000Z</x:v>
      </x:c>
      <x:c r="H48" s="95" t="str">
        <x:v>0000059478-26-000013</x:v>
      </x:c>
      <x:c r="I48" s="95" t="str">
        <x:v>us-gaap:DebtInstrumentCarryingAmount</x:v>
      </x:c>
      <x:c r="J48" s="95" t="str">
        <x:v>c-317</x:v>
      </x:c>
      <x:c r="K48" s="95" t="n">
        <x:v>6</x:v>
      </x:c>
      <x:c r="L48" s="95" t="str">
        <x:v>-6</x:v>
      </x:c>
      <x:c r="M48" s="95" t="str">
        <x:v>https://www.sec.gov/Archives/edgar/data/59478/000005947826000013/lly-20251231.htm</x:v>
      </x:c>
      <x:c r="N48" s="95" t="str">
        <x:v>Note 11 p. 76</x:v>
      </x:c>
      <x:c r="O48" s="95" t="str">
        <x:v>Inline XBRL</x:v>
      </x:c>
      <x:c r="P48" s="95" t="str">
        <x:v>[["us-gaap:DebtInstrumentAxis","lly:NotesDue20312040Member"]]</x:v>
      </x:c>
      <x:c r="Q48" s="95" t="str"/>
      <x:c r="R48" s="55" t="str">
        <x:v>d45f8d1e0945df0b7b30254e96ff8c5dbd1df7d15b17c8ef7399c8e0206b7d7f</x:v>
      </x:c>
    </x:row>
    <x:row r="49" ht="85" customHeight="1">
      <x:c r="A49" s="52" t="str">
        <x:v>notes_20412050</x:v>
      </x:c>
      <x:c r="B49" s="94" t="n">
        <x:v>4543000000</x:v>
      </x:c>
      <x:c r="C49" s="95" t="str">
        <x:v>Notes due 2041–2050</x:v>
      </x:c>
      <x:c r="D49" s="54"/>
      <x:c r="E49" s="54" t="d">
        <x:v>2025-12-31T00:00:00.000Z</x:v>
      </x:c>
      <x:c r="F49" s="95" t="str">
        <x:v>10-K</x:v>
      </x:c>
      <x:c r="G49" s="54" t="d">
        <x:v>2026-02-12T00:00:00.000Z</x:v>
      </x:c>
      <x:c r="H49" s="95" t="str">
        <x:v>0000059478-26-000013</x:v>
      </x:c>
      <x:c r="I49" s="95" t="str">
        <x:v>us-gaap:DebtInstrumentCarryingAmount</x:v>
      </x:c>
      <x:c r="J49" s="95" t="str">
        <x:v>c-321</x:v>
      </x:c>
      <x:c r="K49" s="95" t="n">
        <x:v>6</x:v>
      </x:c>
      <x:c r="L49" s="95" t="str">
        <x:v>-6</x:v>
      </x:c>
      <x:c r="M49" s="95" t="str">
        <x:v>https://www.sec.gov/Archives/edgar/data/59478/000005947826000013/lly-20251231.htm</x:v>
      </x:c>
      <x:c r="N49" s="95" t="str">
        <x:v>Note 11 p. 76</x:v>
      </x:c>
      <x:c r="O49" s="95" t="str">
        <x:v>Inline XBRL</x:v>
      </x:c>
      <x:c r="P49" s="95" t="str">
        <x:v>[["us-gaap:DebtInstrumentAxis","lly:NotesDue20412050Member"]]</x:v>
      </x:c>
      <x:c r="Q49" s="95" t="str"/>
      <x:c r="R49" s="55" t="str">
        <x:v>d45f8d1e0945df0b7b30254e96ff8c5dbd1df7d15b17c8ef7399c8e0206b7d7f</x:v>
      </x:c>
    </x:row>
    <x:row r="50" ht="85" customHeight="1">
      <x:c r="A50" s="52" t="str">
        <x:v>notes_20512060</x:v>
      </x:c>
      <x:c r="B50" s="94" t="n">
        <x:v>8280000000</x:v>
      </x:c>
      <x:c r="C50" s="95" t="str">
        <x:v>Notes due 2051–2060</x:v>
      </x:c>
      <x:c r="D50" s="54"/>
      <x:c r="E50" s="54" t="d">
        <x:v>2025-12-31T00:00:00.000Z</x:v>
      </x:c>
      <x:c r="F50" s="95" t="str">
        <x:v>10-K</x:v>
      </x:c>
      <x:c r="G50" s="54" t="d">
        <x:v>2026-02-12T00:00:00.000Z</x:v>
      </x:c>
      <x:c r="H50" s="95" t="str">
        <x:v>0000059478-26-000013</x:v>
      </x:c>
      <x:c r="I50" s="95" t="str">
        <x:v>us-gaap:DebtInstrumentCarryingAmount</x:v>
      </x:c>
      <x:c r="J50" s="95" t="str">
        <x:v>c-325</x:v>
      </x:c>
      <x:c r="K50" s="95" t="n">
        <x:v>6</x:v>
      </x:c>
      <x:c r="L50" s="95" t="str">
        <x:v>-6</x:v>
      </x:c>
      <x:c r="M50" s="95" t="str">
        <x:v>https://www.sec.gov/Archives/edgar/data/59478/000005947826000013/lly-20251231.htm</x:v>
      </x:c>
      <x:c r="N50" s="95" t="str">
        <x:v>Note 11 p. 76</x:v>
      </x:c>
      <x:c r="O50" s="95" t="str">
        <x:v>Inline XBRL</x:v>
      </x:c>
      <x:c r="P50" s="95" t="str">
        <x:v>[["us-gaap:DebtInstrumentAxis","lly:NotesDue20512060Member"]]</x:v>
      </x:c>
      <x:c r="Q50" s="95" t="str"/>
      <x:c r="R50" s="55" t="str">
        <x:v>d45f8d1e0945df0b7b30254e96ff8c5dbd1df7d15b17c8ef7399c8e0206b7d7f</x:v>
      </x:c>
    </x:row>
    <x:row r="51" ht="85" customHeight="1">
      <x:c r="A51" s="52" t="str">
        <x:v>notes_20612070</x:v>
      </x:c>
      <x:c r="B51" s="94" t="n">
        <x:v>5824000000</x:v>
      </x:c>
      <x:c r="C51" s="95" t="str">
        <x:v>Notes due 2061–2070</x:v>
      </x:c>
      <x:c r="D51" s="54"/>
      <x:c r="E51" s="54" t="d">
        <x:v>2025-12-31T00:00:00.000Z</x:v>
      </x:c>
      <x:c r="F51" s="95" t="str">
        <x:v>10-K</x:v>
      </x:c>
      <x:c r="G51" s="54" t="d">
        <x:v>2026-02-12T00:00:00.000Z</x:v>
      </x:c>
      <x:c r="H51" s="95" t="str">
        <x:v>0000059478-26-000013</x:v>
      </x:c>
      <x:c r="I51" s="95" t="str">
        <x:v>us-gaap:DebtInstrumentCarryingAmount</x:v>
      </x:c>
      <x:c r="J51" s="95" t="str">
        <x:v>c-329</x:v>
      </x:c>
      <x:c r="K51" s="95" t="n">
        <x:v>6</x:v>
      </x:c>
      <x:c r="L51" s="95" t="str">
        <x:v>-6</x:v>
      </x:c>
      <x:c r="M51" s="95" t="str">
        <x:v>https://www.sec.gov/Archives/edgar/data/59478/000005947826000013/lly-20251231.htm</x:v>
      </x:c>
      <x:c r="N51" s="95" t="str">
        <x:v>Note 11 p. 76</x:v>
      </x:c>
      <x:c r="O51" s="95" t="str">
        <x:v>Inline XBRL</x:v>
      </x:c>
      <x:c r="P51" s="95" t="str">
        <x:v>[["us-gaap:DebtInstrumentAxis","lly:NotesDue20612070Member"]]</x:v>
      </x:c>
      <x:c r="Q51" s="95" t="str"/>
      <x:c r="R51" s="55" t="str">
        <x:v>d45f8d1e0945df0b7b30254e96ff8c5dbd1df7d15b17c8ef7399c8e0206b7d7f</x:v>
      </x:c>
    </x:row>
    <x:row r="52" ht="85" customHeight="1">
      <x:c r="A52" s="52" t="str">
        <x:v>adjustment</x:v>
      </x:c>
      <x:c r="B52" s="94" t="n">
        <x:v>339000000</x:v>
      </x:c>
      <x:c r="C52" s="95" t="str">
        <x:v>Other long-term debt and adjustments (source magnitude)</x:v>
      </x:c>
      <x:c r="D52" s="54"/>
      <x:c r="E52" s="54" t="d">
        <x:v>2025-12-31T00:00:00.000Z</x:v>
      </x:c>
      <x:c r="F52" s="95" t="str">
        <x:v>10-K</x:v>
      </x:c>
      <x:c r="G52" s="54" t="d">
        <x:v>2026-02-12T00:00:00.000Z</x:v>
      </x:c>
      <x:c r="H52" s="95" t="str">
        <x:v>0000059478-26-000013</x:v>
      </x:c>
      <x:c r="I52" s="95" t="str">
        <x:v>us-gaap:OtherLongTermDebt</x:v>
      </x:c>
      <x:c r="J52" s="95" t="str">
        <x:v>c-16</x:v>
      </x:c>
      <x:c r="K52" s="95" t="n">
        <x:v>6</x:v>
      </x:c>
      <x:c r="L52" s="95" t="str">
        <x:v>-6</x:v>
      </x:c>
      <x:c r="M52" s="95" t="str">
        <x:v>https://www.sec.gov/Archives/edgar/data/59478/000005947826000013/lly-20251231.htm</x:v>
      </x:c>
      <x:c r="N52" s="95" t="str">
        <x:v>Note 11 p. 76</x:v>
      </x:c>
      <x:c r="O52" s="95" t="str">
        <x:v>Inline XBRL</x:v>
      </x:c>
      <x:c r="P52" s="95" t="str">
        <x:v>[]</x:v>
      </x:c>
      <x:c r="Q52" s="95" t="str"/>
      <x:c r="R52" s="55" t="str">
        <x:v>d45f8d1e0945df0b7b30254e96ff8c5dbd1df7d15b17c8ef7399c8e0206b7d7f</x:v>
      </x:c>
    </x:row>
    <x:row r="53" ht="85" customHeight="1">
      <x:c r="A53" s="52" t="str">
        <x:v>annual_cp</x:v>
      </x:c>
      <x:c r="B53" s="94" t="n">
        <x:v>0</x:v>
      </x:c>
      <x:c r="C53" s="95" t="str">
        <x:v>Commercial paper</x:v>
      </x:c>
      <x:c r="D53" s="54"/>
      <x:c r="E53" s="54" t="d">
        <x:v>2025-12-31T00:00:00.000Z</x:v>
      </x:c>
      <x:c r="F53" s="95" t="str">
        <x:v>10-K</x:v>
      </x:c>
      <x:c r="G53" s="54" t="d">
        <x:v>2026-02-12T00:00:00.000Z</x:v>
      </x:c>
      <x:c r="H53" s="95" t="str">
        <x:v>0000059478-26-000013</x:v>
      </x:c>
      <x:c r="I53" s="95" t="str">
        <x:v>us-gaap:CommercialPaper</x:v>
      </x:c>
      <x:c r="J53" s="95" t="str">
        <x:v>c-16</x:v>
      </x:c>
      <x:c r="K53" s="95" t="n">
        <x:v>6</x:v>
      </x:c>
      <x:c r="L53" s="95" t="str">
        <x:v>-6</x:v>
      </x:c>
      <x:c r="M53" s="95" t="str">
        <x:v>https://www.sec.gov/Archives/edgar/data/59478/000005947826000013/lly-20251231.htm</x:v>
      </x:c>
      <x:c r="N53" s="95" t="str">
        <x:v>Note 11 p. 76</x:v>
      </x:c>
      <x:c r="O53" s="95" t="str">
        <x:v>Inline XBRL</x:v>
      </x:c>
      <x:c r="P53" s="95" t="str">
        <x:v>[]</x:v>
      </x:c>
      <x:c r="Q53" s="95" t="str"/>
      <x:c r="R53" s="55" t="str">
        <x:v>d45f8d1e0945df0b7b30254e96ff8c5dbd1df7d15b17c8ef7399c8e0206b7d7f</x:v>
      </x:c>
    </x:row>
    <x:row r="54" ht="85" customHeight="1">
      <x:c r="A54" s="52" t="str">
        <x:v>annual_total</x:v>
      </x:c>
      <x:c r="B54" s="94" t="n">
        <x:v>42503000000</x:v>
      </x:c>
      <x:c r="C54" s="95" t="str">
        <x:v>Reported total debt</x:v>
      </x:c>
      <x:c r="D54" s="54"/>
      <x:c r="E54" s="54" t="d">
        <x:v>2025-12-31T00:00:00.000Z</x:v>
      </x:c>
      <x:c r="F54" s="95" t="str">
        <x:v>10-K</x:v>
      </x:c>
      <x:c r="G54" s="54" t="d">
        <x:v>2026-02-12T00:00:00.000Z</x:v>
      </x:c>
      <x:c r="H54" s="95" t="str">
        <x:v>0000059478-26-000013</x:v>
      </x:c>
      <x:c r="I54" s="95" t="str">
        <x:v>us-gaap:DebtLongtermAndShorttermCombinedAmount</x:v>
      </x:c>
      <x:c r="J54" s="95" t="str">
        <x:v>c-16</x:v>
      </x:c>
      <x:c r="K54" s="95" t="n">
        <x:v>6</x:v>
      </x:c>
      <x:c r="L54" s="95" t="str">
        <x:v>-6</x:v>
      </x:c>
      <x:c r="M54" s="95" t="str">
        <x:v>https://www.sec.gov/Archives/edgar/data/59478/000005947826000013/lly-20251231.htm</x:v>
      </x:c>
      <x:c r="N54" s="95" t="str">
        <x:v>Note 11 p. 76</x:v>
      </x:c>
      <x:c r="O54" s="95" t="str">
        <x:v>Inline XBRL</x:v>
      </x:c>
      <x:c r="P54" s="95" t="str">
        <x:v>[]</x:v>
      </x:c>
      <x:c r="Q54" s="95" t="str"/>
      <x:c r="R54" s="55" t="str">
        <x:v>d45f8d1e0945df0b7b30254e96ff8c5dbd1df7d15b17c8ef7399c8e0206b7d7f</x:v>
      </x:c>
    </x:row>
    <x:row r="55" ht="85" customHeight="1">
      <x:c r="A55" s="52" t="str">
        <x:v>annual_unused</x:v>
      </x:c>
      <x:c r="B55" s="94" t="n">
        <x:v>10100000000</x:v>
      </x:c>
      <x:c r="C55" s="95" t="str">
        <x:v>Unused facilities at December 31</x:v>
      </x:c>
      <x:c r="D55" s="54"/>
      <x:c r="E55" s="54" t="d">
        <x:v>2025-12-31T00:00:00.000Z</x:v>
      </x:c>
      <x:c r="F55" s="95" t="str">
        <x:v>10-K</x:v>
      </x:c>
      <x:c r="G55" s="54" t="d">
        <x:v>2026-02-12T00:00:00.000Z</x:v>
      </x:c>
      <x:c r="H55" s="95" t="str">
        <x:v>0000059478-26-000013</x:v>
      </x:c>
      <x:c r="I55" s="95" t="str">
        <x:v>us-gaap:LineOfCreditFacilityRemainingBorrowingCapacity</x:v>
      </x:c>
      <x:c r="J55" s="95" t="str">
        <x:v>c-16</x:v>
      </x:c>
      <x:c r="K55" s="95" t="n">
        <x:v>9</x:v>
      </x:c>
      <x:c r="L55" s="95" t="str">
        <x:v>-8</x:v>
      </x:c>
      <x:c r="M55" s="95" t="str">
        <x:v>https://www.sec.gov/Archives/edgar/data/59478/000005947826000013/lly-20251231.htm</x:v>
      </x:c>
      <x:c r="N55" s="95" t="str">
        <x:v>Note 11 p. 76</x:v>
      </x:c>
      <x:c r="O55" s="95" t="str">
        <x:v>Inline XBRL</x:v>
      </x:c>
      <x:c r="P55" s="95" t="str">
        <x:v>[]</x:v>
      </x:c>
      <x:c r="Q55" s="95" t="str"/>
      <x:c r="R55" s="55" t="str">
        <x:v>d45f8d1e0945df0b7b30254e96ff8c5dbd1df7d15b17c8ef7399c8e0206b7d7f</x:v>
      </x:c>
    </x:row>
    <x:row r="56" ht="85" customHeight="1">
      <x:c r="A56" s="52" t="str">
        <x:v>facility_2026</x:v>
      </x:c>
      <x:c r="B56" s="94" t="n">
        <x:v>6000000000</x:v>
      </x:c>
      <x:c r="C56" s="95" t="str">
        <x:v>364-day facility expires August 2026</x:v>
      </x:c>
      <x:c r="D56" s="54"/>
      <x:c r="E56" s="54" t="d">
        <x:v>2025-12-31T00:00:00.000Z</x:v>
      </x:c>
      <x:c r="F56" s="95" t="str">
        <x:v>10-K</x:v>
      </x:c>
      <x:c r="G56" s="54" t="d">
        <x:v>2026-02-12T00:00:00.000Z</x:v>
      </x:c>
      <x:c r="H56" s="95" t="str">
        <x:v>0000059478-26-000013</x:v>
      </x:c>
      <x:c r="I56" s="95" t="str">
        <x:v>us-gaap:LineOfCreditFacilityMaximumBorrowingCapacity</x:v>
      </x:c>
      <x:c r="J56" s="95" t="str">
        <x:v>c-334</x:v>
      </x:c>
      <x:c r="K56" s="95" t="n">
        <x:v>9</x:v>
      </x:c>
      <x:c r="L56" s="95" t="str">
        <x:v>INF</x:v>
      </x:c>
      <x:c r="M56" s="95" t="str">
        <x:v>https://www.sec.gov/Archives/edgar/data/59478/000005947826000013/lly-20251231.htm</x:v>
      </x:c>
      <x:c r="N56" s="95" t="str">
        <x:v>Note 11 p. 76; MD&amp;A p. 51</x:v>
      </x:c>
      <x:c r="O56" s="95" t="str">
        <x:v>Inline XBRL</x:v>
      </x:c>
      <x:c r="P56" s="95" t="str">
        <x:v>[["us-gaap:DebtInstrumentRedemptionPeriodAxis","lly:MaturityDate2026Member"]]</x:v>
      </x:c>
      <x:c r="Q56" s="95" t="str"/>
      <x:c r="R56" s="55" t="str">
        <x:v>d45f8d1e0945df0b7b30254e96ff8c5dbd1df7d15b17c8ef7399c8e0206b7d7f</x:v>
      </x:c>
    </x:row>
    <x:row r="57" ht="85" customHeight="1">
      <x:c r="A57" s="52" t="str">
        <x:v>facility_2029</x:v>
      </x:c>
      <x:c r="B57" s="94" t="n">
        <x:v>4000000000</x:v>
      </x:c>
      <x:c r="C57" s="95" t="str">
        <x:v>Facility expires December 2029</x:v>
      </x:c>
      <x:c r="D57" s="54"/>
      <x:c r="E57" s="54" t="d">
        <x:v>2025-12-31T00:00:00.000Z</x:v>
      </x:c>
      <x:c r="F57" s="95" t="str">
        <x:v>10-K</x:v>
      </x:c>
      <x:c r="G57" s="54" t="d">
        <x:v>2026-02-12T00:00:00.000Z</x:v>
      </x:c>
      <x:c r="H57" s="95" t="str">
        <x:v>0000059478-26-000013</x:v>
      </x:c>
      <x:c r="I57" s="95" t="str">
        <x:v>us-gaap:LineOfCreditFacilityMaximumBorrowingCapacity</x:v>
      </x:c>
      <x:c r="J57" s="95" t="str">
        <x:v>c-333</x:v>
      </x:c>
      <x:c r="K57" s="95" t="n">
        <x:v>9</x:v>
      </x:c>
      <x:c r="L57" s="95" t="str">
        <x:v>INF</x:v>
      </x:c>
      <x:c r="M57" s="95" t="str">
        <x:v>https://www.sec.gov/Archives/edgar/data/59478/000005947826000013/lly-20251231.htm</x:v>
      </x:c>
      <x:c r="N57" s="95" t="str">
        <x:v>Note 11 p. 76; MD&amp;A p. 51</x:v>
      </x:c>
      <x:c r="O57" s="95" t="str">
        <x:v>Inline XBRL</x:v>
      </x:c>
      <x:c r="P57" s="95" t="str">
        <x:v>[["us-gaap:DebtInstrumentRedemptionPeriodAxis","lly:MaturityDateDecember2029Member"]]</x:v>
      </x:c>
      <x:c r="Q57" s="95" t="str"/>
      <x:c r="R57" s="55" t="str">
        <x:v>d45f8d1e0945df0b7b30254e96ff8c5dbd1df7d15b17c8ef7399c8e0206b7d7f</x:v>
      </x:c>
    </x:row>
    <x:row r="58" ht="85" customHeight="1">
      <x:c r="A58" s="52" t="str">
        <x:v>unused_june</x:v>
      </x:c>
      <x:c r="B58" s="94" t="n">
        <x:v>10100000000</x:v>
      </x:c>
      <x:c r="C58" s="95" t="str">
        <x:v>Unused committed facilities</x:v>
      </x:c>
      <x:c r="D58" s="54"/>
      <x:c r="E58" s="54" t="d">
        <x:v>2026-06-30T00:00:00.000Z</x:v>
      </x:c>
      <x:c r="F58" s="95" t="str">
        <x:v>10-Q</x:v>
      </x:c>
      <x:c r="G58" s="54" t="d">
        <x:v>2026-08-05T00:00:00.000Z</x:v>
      </x:c>
      <x:c r="H58" s="95" t="str">
        <x:v>0000059478-26-000081</x:v>
      </x:c>
      <x:c r="I58" s="95"/>
      <x:c r="J58" s="95"/>
      <x:c r="K58" s="95"/>
      <x:c r="L58" s="95"/>
      <x:c r="M58" s="95" t="str">
        <x:v>https://www.sec.gov/Archives/edgar/data/59478/000005947826000081/lly-20260630.htm</x:v>
      </x:c>
      <x:c r="N58" s="95" t="str">
        <x:v>MD&amp;A p. 31</x:v>
      </x:c>
      <x:c r="O58" s="95" t="str">
        <x:v>Reviewed filing text</x:v>
      </x:c>
      <x:c r="P58" s="95" t="str">
        <x:v>[]</x:v>
      </x:c>
      <x:c r="Q58" s="95" t="str">
        <x:v>Of this, $10B supports commercial paper. Not cash or verified drawable credit; do not add CP capacity again. Agreement conditions and facility-by-facility June composition are Unavailable.</x:v>
      </x:c>
      <x:c r="R58" s="55" t="str">
        <x:v>8e8f10cf3af98bc12a41985a98cfde9c2b9da8a812af18515d34ce3d8e1c1b3d</x:v>
      </x:c>
    </x:row>
    <x:row r="59" ht="85" customHeight="1">
      <x:c r="A59" s="52" t="str">
        <x:v>cp_support</x:v>
      </x:c>
      <x:c r="B59" s="94" t="n">
        <x:v>10000000000</x:v>
      </x:c>
      <x:c r="C59" s="95" t="str">
        <x:v>Facilities supporting commercial paper</x:v>
      </x:c>
      <x:c r="D59" s="54"/>
      <x:c r="E59" s="54" t="d">
        <x:v>2026-06-30T00:00:00.000Z</x:v>
      </x:c>
      <x:c r="F59" s="95" t="str">
        <x:v>10-Q</x:v>
      </x:c>
      <x:c r="G59" s="54" t="d">
        <x:v>2026-08-05T00:00:00.000Z</x:v>
      </x:c>
      <x:c r="H59" s="95" t="str">
        <x:v>0000059478-26-000081</x:v>
      </x:c>
      <x:c r="I59" s="95"/>
      <x:c r="J59" s="95"/>
      <x:c r="K59" s="95"/>
      <x:c r="L59" s="95"/>
      <x:c r="M59" s="95" t="str">
        <x:v>https://www.sec.gov/Archives/edgar/data/59478/000005947826000081/lly-20260630.htm</x:v>
      </x:c>
      <x:c r="N59" s="95" t="str">
        <x:v>MD&amp;A p. 31</x:v>
      </x:c>
      <x:c r="O59" s="95" t="str">
        <x:v>Reviewed filing text</x:v>
      </x:c>
      <x:c r="P59" s="95" t="str">
        <x:v>[]</x:v>
      </x:c>
      <x:c r="Q59" s="95" t="str">
        <x:v>Included in the $10.1B; not another source of funds.</x:v>
      </x:c>
      <x:c r="R59" s="55" t="str">
        <x:v>8e8f10cf3af98bc12a41985a98cfde9c2b9da8a812af18515d34ce3d8e1c1b3d</x:v>
      </x:c>
    </x:row>
    <x:row r="60" ht="85" customHeight="1">
      <x:c r="A60" s="52" t="str">
        <x:v>atai</x:v>
      </x:c>
      <x:c r="B60" s="94" t="n">
        <x:v>2800000000</x:v>
      </x:c>
      <x:c r="C60" s="95" t="str">
        <x:v>Pending AtaiBeckley acquisition</x:v>
      </x:c>
      <x:c r="D60" s="54"/>
      <x:c r="E60" s="54" t="str">
        <x:v>Disclosed August 5, 2026</x:v>
      </x:c>
      <x:c r="F60" s="95" t="str">
        <x:v>10-Q</x:v>
      </x:c>
      <x:c r="G60" s="54" t="d">
        <x:v>2026-08-05T00:00:00.000Z</x:v>
      </x:c>
      <x:c r="H60" s="95" t="str">
        <x:v>0000059478-26-000081</x:v>
      </x:c>
      <x:c r="I60" s="95"/>
      <x:c r="J60" s="95"/>
      <x:c r="K60" s="95"/>
      <x:c r="L60" s="95"/>
      <x:c r="M60" s="95" t="str">
        <x:v>https://www.sec.gov/Archives/edgar/data/59478/000005947826000081/lly-20260630.htm</x:v>
      </x:c>
      <x:c r="N60" s="95" t="str">
        <x:v>MD&amp;A p. 31</x:v>
      </x:c>
      <x:c r="O60" s="95" t="str">
        <x:v>Reviewed filing text</x:v>
      </x:c>
      <x:c r="P60" s="95" t="str">
        <x:v>[]</x:v>
      </x:c>
      <x:c r="Q60" s="95" t="str">
        <x:v>Payable at closing, subject to conditions. Disclosed after quarter end; closing date, completion and funding allocation are not established here.</x:v>
      </x:c>
      <x:c r="R60" s="55" t="str">
        <x:v>8e8f10cf3af98bc12a41985a98cfde9c2b9da8a812af18515d34ce3d8e1c1b3d</x:v>
      </x:c>
    </x:row>
    <x:row r="61" ht="85" customHeight="1">
      <x:c r="A61" s="52" t="str">
        <x:v>unpaid_kelonia</x:v>
      </x:c>
      <x:c r="B61" s="94" t="n">
        <x:v>208000000</x:v>
      </x:c>
      <x:c r="C61" s="95" t="str">
        <x:v>Unpaid Kelonia cash consideration</x:v>
      </x:c>
      <x:c r="D61" s="54"/>
      <x:c r="E61" s="54" t="d">
        <x:v>2026-06-30T00:00:00.000Z</x:v>
      </x:c>
      <x:c r="F61" s="95" t="str">
        <x:v>10-Q</x:v>
      </x:c>
      <x:c r="G61" s="54" t="d">
        <x:v>2026-08-05T00:00:00.000Z</x:v>
      </x:c>
      <x:c r="H61" s="95" t="str">
        <x:v>0000059478-26-000081</x:v>
      </x:c>
      <x:c r="I61" s="95"/>
      <x:c r="J61" s="95"/>
      <x:c r="K61" s="95"/>
      <x:c r="L61" s="95"/>
      <x:c r="M61" s="95" t="str">
        <x:v>https://www.sec.gov/Archives/edgar/data/59478/000005947826000081/lly-20260630.htm</x:v>
      </x:c>
      <x:c r="N61" s="95" t="str">
        <x:v>Note 4 p. 13</x:v>
      </x:c>
      <x:c r="O61" s="95" t="str">
        <x:v>Reviewed filing text</x:v>
      </x:c>
      <x:c r="P61" s="95" t="str">
        <x:v>[]</x:v>
      </x:c>
      <x:c r="Q61" s="95" t="str">
        <x:v>Payment date Unavailable. Separate from cash already paid and from contingent-consideration fair value.</x:v>
      </x:c>
      <x:c r="R61" s="55" t="str">
        <x:v>8e8f10cf3af98bc12a41985a98cfde9c2b9da8a812af18515d34ce3d8e1c1b3d</x:v>
      </x:c>
    </x:row>
    <x:row r="62" ht="85" customHeight="1">
      <x:c r="A62" s="52" t="str">
        <x:v>unpaid_centessa</x:v>
      </x:c>
      <x:c r="B62" s="94" t="n">
        <x:v>88000000</x:v>
      </x:c>
      <x:c r="C62" s="95" t="str">
        <x:v>Unpaid Centessa cash consideration</x:v>
      </x:c>
      <x:c r="D62" s="54"/>
      <x:c r="E62" s="54" t="d">
        <x:v>2026-06-30T00:00:00.000Z</x:v>
      </x:c>
      <x:c r="F62" s="95" t="str">
        <x:v>10-Q</x:v>
      </x:c>
      <x:c r="G62" s="54" t="d">
        <x:v>2026-08-05T00:00:00.000Z</x:v>
      </x:c>
      <x:c r="H62" s="95" t="str">
        <x:v>0000059478-26-000081</x:v>
      </x:c>
      <x:c r="I62" s="95"/>
      <x:c r="J62" s="95"/>
      <x:c r="K62" s="95"/>
      <x:c r="L62" s="95"/>
      <x:c r="M62" s="95" t="str">
        <x:v>https://www.sec.gov/Archives/edgar/data/59478/000005947826000081/lly-20260630.htm</x:v>
      </x:c>
      <x:c r="N62" s="95" t="str">
        <x:v>Note 4 p. 13</x:v>
      </x:c>
      <x:c r="O62" s="95" t="str">
        <x:v>Reviewed filing text</x:v>
      </x:c>
      <x:c r="P62" s="95" t="str">
        <x:v>[]</x:v>
      </x:c>
      <x:c r="Q62" s="95" t="str">
        <x:v>Payment date Unavailable. Do not add to paid acquisition cash or contingent-consideration fair value.</x:v>
      </x:c>
      <x:c r="R62" s="55" t="str">
        <x:v>8e8f10cf3af98bc12a41985a98cfde9c2b9da8a812af18515d34ce3d8e1c1b3d</x:v>
      </x:c>
    </x:row>
    <x:row r="63" ht="85" customHeight="1">
      <x:c r="A63" s="52" t="str">
        <x:v>july_paid</x:v>
      </x:c>
      <x:c r="B63" s="94" t="n">
        <x:v>2000000000</x:v>
      </x:c>
      <x:c r="C63" s="95" t="str">
        <x:v>July infectious-disease acquisitions: cash paid</x:v>
      </x:c>
      <x:c r="D63" s="54"/>
      <x:c r="E63" s="54" t="str">
        <x:v>July 2026</x:v>
      </x:c>
      <x:c r="F63" s="95" t="str">
        <x:v>10-Q</x:v>
      </x:c>
      <x:c r="G63" s="54" t="d">
        <x:v>2026-08-05T00:00:00.000Z</x:v>
      </x:c>
      <x:c r="H63" s="95" t="str">
        <x:v>0000059478-26-000081</x:v>
      </x:c>
      <x:c r="I63" s="95"/>
      <x:c r="J63" s="95"/>
      <x:c r="K63" s="95"/>
      <x:c r="L63" s="95"/>
      <x:c r="M63" s="95" t="str">
        <x:v>https://www.sec.gov/Archives/edgar/data/59478/000005947826000081/lly-20260630.htm</x:v>
      </x:c>
      <x:c r="N63" s="95" t="str">
        <x:v>MD&amp;A p. 31; Note 4 pp. 13–14</x:v>
      </x:c>
      <x:c r="O63" s="95" t="str">
        <x:v>Reviewed filing text</x:v>
      </x:c>
      <x:c r="P63" s="95" t="str">
        <x:v>[]</x:v>
      </x:c>
      <x:c r="Q63" s="95" t="str">
        <x:v>Already paid after June. Other July cash flows are unknown; June cash less this payment is not a current cash balance.</x:v>
      </x:c>
      <x:c r="R63" s="55" t="str">
        <x:v>8e8f10cf3af98bc12a41985a98cfde9c2b9da8a812af18515d34ce3d8e1c1b3d</x:v>
      </x:c>
    </x:row>
    <x:row r="64" ht="85" customHeight="1">
      <x:c r="A64" s="52" t="str">
        <x:v>july_ceiling</x:v>
      </x:c>
      <x:c r="B64" s="94" t="n">
        <x:v>3900000000</x:v>
      </x:c>
      <x:c r="C64" s="95" t="str">
        <x:v>July acquisitions: aggregate consideration up to</x:v>
      </x:c>
      <x:c r="D64" s="54"/>
      <x:c r="E64" s="54" t="str">
        <x:v>July 2026</x:v>
      </x:c>
      <x:c r="F64" s="95" t="str">
        <x:v>10-Q</x:v>
      </x:c>
      <x:c r="G64" s="54" t="d">
        <x:v>2026-08-05T00:00:00.000Z</x:v>
      </x:c>
      <x:c r="H64" s="95" t="str">
        <x:v>0000059478-26-000081</x:v>
      </x:c>
      <x:c r="I64" s="95"/>
      <x:c r="J64" s="95"/>
      <x:c r="K64" s="95"/>
      <x:c r="L64" s="95"/>
      <x:c r="M64" s="95" t="str">
        <x:v>https://www.sec.gov/Archives/edgar/data/59478/000005947826000081/lly-20260630.htm</x:v>
      </x:c>
      <x:c r="N64" s="95" t="str">
        <x:v>Note 4 pp. 13–14</x:v>
      </x:c>
      <x:c r="O64" s="95" t="str">
        <x:v>Reviewed filing text</x:v>
      </x:c>
      <x:c r="P64" s="95" t="str">
        <x:v>[]</x:v>
      </x:c>
      <x:c r="Q64" s="95" t="str">
        <x:v>Includes upfront cash and potential clinical, regulatory and commercial milestones. Includes the approximately $2B paid; do not add the two amounts or infer a precise remaining cash bill.</x:v>
      </x:c>
      <x:c r="R64" s="55" t="str">
        <x:v>8e8f10cf3af98bc12a41985a98cfde9c2b9da8a812af18515d34ce3d8e1c1b3d</x:v>
      </x:c>
    </x:row>
    <x:row r="65" ht="85" customHeight="1">
      <x:c r="A65" s="52" t="str">
        <x:v>vc</x:v>
      </x:c>
      <x:c r="B65" s="94" t="n">
        <x:v>806000000</x:v>
      </x:c>
      <x:c r="C65" s="95" t="str">
        <x:v>Unfunded venture fund commitments</x:v>
      </x:c>
      <x:c r="D65" s="54"/>
      <x:c r="E65" s="54" t="d">
        <x:v>2026-06-30T00:00:00.000Z</x:v>
      </x:c>
      <x:c r="F65" s="95" t="str">
        <x:v>10-Q</x:v>
      </x:c>
      <x:c r="G65" s="54" t="d">
        <x:v>2026-08-05T00:00:00.000Z</x:v>
      </x:c>
      <x:c r="H65" s="95" t="str">
        <x:v>0000059478-26-000081</x:v>
      </x:c>
      <x:c r="I65" s="95"/>
      <x:c r="J65" s="95"/>
      <x:c r="K65" s="95"/>
      <x:c r="L65" s="95"/>
      <x:c r="M65" s="95" t="str">
        <x:v>https://www.sec.gov/Archives/edgar/data/59478/000005947826000081/lly-20260630.htm</x:v>
      </x:c>
      <x:c r="N65" s="95" t="str">
        <x:v>MD&amp;A p. 31</x:v>
      </x:c>
      <x:c r="O65" s="95" t="str">
        <x:v>Reviewed filing text</x:v>
      </x:c>
      <x:c r="P65" s="95" t="str">
        <x:v>[]</x:v>
      </x:c>
      <x:c r="Q65" s="95" t="str">
        <x:v>Expected to be paid over up to ten years. Individual capital-call dates are Unavailable.</x:v>
      </x:c>
      <x:c r="R65" s="55" t="str">
        <x:v>8e8f10cf3af98bc12a41985a98cfde9c2b9da8a812af18515d34ce3d8e1c1b3d</x:v>
      </x:c>
    </x:row>
    <x:row r="66" ht="85" customHeight="1">
      <x:c r="A66" s="52" t="str">
        <x:v>manufacturing</x:v>
      </x:c>
      <x:c r="B66" s="94" t="n">
        <x:v>10000000000</x:v>
      </x:c>
      <x:c r="C66" s="95" t="str">
        <x:v>Development-medicine supply arrangements: up to</x:v>
      </x:c>
      <x:c r="D66" s="54"/>
      <x:c r="E66" s="54" t="d">
        <x:v>2025-12-31T00:00:00.000Z</x:v>
      </x:c>
      <x:c r="F66" s="95" t="str">
        <x:v>10-K</x:v>
      </x:c>
      <x:c r="G66" s="54" t="d">
        <x:v>2026-02-12T00:00:00.000Z</x:v>
      </x:c>
      <x:c r="H66" s="95" t="str">
        <x:v>0000059478-26-000013</x:v>
      </x:c>
      <x:c r="I66" s="95"/>
      <x:c r="J66" s="95"/>
      <x:c r="K66" s="95"/>
      <x:c r="L66" s="95"/>
      <x:c r="M66" s="95" t="str">
        <x:v>https://www.sec.gov/Archives/edgar/data/59478/000005947826000013/lly-20251231.htm</x:v>
      </x:c>
      <x:c r="N66" s="95" t="str">
        <x:v>MD&amp;A p. 51</x:v>
      </x:c>
      <x:c r="O66" s="95" t="str">
        <x:v>Reviewed filing text</x:v>
      </x:c>
      <x:c r="P66" s="95" t="str">
        <x:v>[]</x:v>
      </x:c>
      <x:c r="Q66" s="95" t="str">
        <x:v>Payments if specified purchases are not met under executed manufacturing and supply agreements; durations generally up to eight years. Not an unconditional $10B bill. Updated June ceiling, annual payments and overlap with other spending are Unavailable.</x:v>
      </x:c>
      <x:c r="R66" s="55" t="str">
        <x:v>d45f8d1e0945df0b7b30254e96ff8c5dbd1df7d15b17c8ef7399c8e0206b7d7f</x:v>
      </x:c>
    </x:row>
    <x:row r="67" ht="85" customHeight="1">
      <x:c r="A67" s="59" t="str">
        <x:v>indiana</x:v>
      </x:c>
      <x:c r="B67" s="96" t="n">
        <x:v>4500000000</x:v>
      </x:c>
      <x:c r="C67" s="97" t="str">
        <x:v>Additional Indiana manufacturing investment</x:v>
      </x:c>
      <x:c r="D67" s="61"/>
      <x:c r="E67" s="61" t="str">
        <x:v>Announced August 5, 2026</x:v>
      </x:c>
      <x:c r="F67" s="97" t="str">
        <x:v>8-K Ex. 99.1</x:v>
      </x:c>
      <x:c r="G67" s="61" t="d">
        <x:v>2026-08-05T00:00:00.000Z</x:v>
      </x:c>
      <x:c r="H67" s="97" t="str">
        <x:v>0000059478-26-000077</x:v>
      </x:c>
      <x:c r="I67" s="97"/>
      <x:c r="J67" s="97"/>
      <x:c r="K67" s="97"/>
      <x:c r="L67" s="97"/>
      <x:c r="M67" s="97" t="str">
        <x:v>https://www.sec.gov/Archives/edgar/data/59478/000005947826000077/q226lillysalesandearningsp.htm</x:v>
      </x:c>
      <x:c r="N67" s="97" t="str">
        <x:v>Highlights; Other announcements</x:v>
      </x:c>
      <x:c r="O67" s="97" t="str">
        <x:v>Reviewed filing text</x:v>
      </x:c>
      <x:c r="P67" s="97" t="str">
        <x:v>[]</x:v>
      </x:c>
      <x:c r="Q67" s="97" t="str">
        <x:v>Release says committed an additional $4.5B. Contractual payment schedule, spending to date and overlap with capex or supply commitments are not established by this release. Not added to debt or the $10B ceiling.</x:v>
      </x:c>
      <x:c r="R67" s="62" t="str">
        <x:v>5397056cb6aebc1496e22de6f9c8b062b11ff0c7f5ee30428e3f68fc8aea748a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0" hidden="0" customWidth="1"/>
    <x:col min="3" max="3" width="75" hidden="0" customWidth="1"/>
  </x:cols>
  <x:sheetData>
    <x:row r="1" ht="30" customHeight="1">
      <x:c r="A1" s="78" t="str">
        <x:v>Topic</x:v>
      </x:c>
      <x:c r="B1" s="79" t="str">
        <x:v>Explanation</x:v>
      </x:c>
      <x:c r="C1" s="80" t="str">
        <x:v>Source</x:v>
      </x:c>
    </x:row>
    <x:row r="2" ht="70" customHeight="1">
      <x:c r="A2" s="52" t="str">
        <x:v>Scope</x:v>
      </x:c>
      <x:c r="B2" s="95" t="str">
        <x:v>Lilly only. Checked snapshot October 14, 2026. Financial statements dated June 30, 2026. Not investment advice.</x:v>
      </x:c>
      <x:c r="C2" s="55" t="str">
        <x:v>https://www.sec.gov/Archives/edgar/data/59478/000005947826000081/lly-20260630.htm</x:v>
      </x:c>
    </x:row>
    <x:row r="3" ht="70" customHeight="1">
      <x:c r="A3" s="52" t="str">
        <x:v>Colors</x:v>
      </x:c>
      <x:c r="B3" s="95" t="str">
        <x:v>Arial 10. Full USD displayed in millions. Blue reported inputs, green cross-sheet links, black same-sheet calculations. Zero is a dash. Missing inputs are not zero.</x:v>
      </x:c>
      <x:c r="C3" s="55"/>
    </x:row>
    <x:row r="4" ht="70" customHeight="1">
      <x:c r="A4" s="52" t="str">
        <x:v>Cash generation</x:v>
      </x:c>
      <x:c r="B4" s="95" t="str">
        <x:v>Fiscal year + current YTD − prior YTD. Capital spending uses Lilly’s checked other-PP&amp;E tag. FCF excludes acquisitions, dividends and other cash uses.</x:v>
      </x:c>
      <x:c r="C4" s="55" t="str">
        <x:v>docs/pilot_cashflow_reconciliation.md</x:v>
      </x:c>
    </x:row>
    <x:row r="5" ht="70" customHeight="1">
      <x:c r="A5" s="52" t="str">
        <x:v>Borrowing</x:v>
      </x:c>
      <x:c r="B5" s="95" t="str">
        <x:v>Balance-sheet current and noncurrent borrowing are added once. Fair-value table carrying amounts are not added again.</x:v>
      </x:c>
      <x:c r="C5" s="55" t="str">
        <x:v>docs/pilot_evidence_lly.md</x:v>
      </x:c>
    </x:row>
    <x:row r="6" ht="70" customHeight="1">
      <x:c r="A6" s="59" t="str">
        <x:v>Selected commitments</x:v>
      </x:c>
      <x:c r="B6" s="97" t="str">
        <x:v>Descriptions retain their disclosure dates; AtaiBeckley was disclosed after quarter end. They are not added to debt or to each other.</x:v>
      </x:c>
      <x:c r="C6" s="62" t="str">
        <x:v>https://www.sec.gov/Archives/edgar/data/59478/000005947826000081/lly-20260630.htm</x:v>
      </x:c>
    </x:row>
    <x:row r="7" ht="95" customHeight="1">
      <x:c r="A7" s="52" t="str">
        <x:v>Dated review</x:v>
      </x:c>
      <x:c r="B7" s="95" t="str">
        <x:v>Repayment review uses exact H1 cash flows and historical annual carrying-debt buckets. Future coverage remains Unavailable. Text disclosures are identified separately; source hashes and dimensions are in Data.</x:v>
      </x:c>
      <x:c r="C7" s="55" t="str">
        <x:v>docs/lly_liquidity_review.md</x:v>
      </x:c>
    </x:row>
    <x:row r="8" ht="95" customHeight="1">
      <x:c r="A8" s="59" t="str">
        <x:v>Post-quarter events</x:v>
      </x:c>
      <x:c r="B8" s="97" t="str">
        <x:v>July acquisition cash is separate from June cash. The July $3.9B ceiling includes upfront cash. August $4.5B manufacturing announcement has no dated cash schedule. No overlap total inferred.</x:v>
      </x:c>
      <x:c r="C8" s="62" t="str">
        <x:v>https://www.sec.gov/Archives/edgar/data/59478/000005947826000077/q226lillysalesandearningsp.htm</x:v>
      </x:c>
    </x:row>
  </x:sheetData>
  <x:pageMargins left="0.7" right="0.7" top="0.75" bottom="0.75" header="0.3" footer="0.3"/>
</x:worksheet>
</file>