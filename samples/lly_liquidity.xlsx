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03f79f3fef4fa3" /></Relationships>
</file>

<file path=xl/workbook.xml><?xml version="1.0" encoding="utf-8"?>
<x:workbook xmlns:x="http://schemas.openxmlformats.org/spreadsheetml/2006/main">
  <x:sheets>
    <x:sheet xmlns:r="http://schemas.openxmlformats.org/officeDocument/2006/relationships" name="Funding conclusion" sheetId="1" r:id="Rf70c54d8804b432d"/>
    <x:sheet xmlns:r="http://schemas.openxmlformats.org/officeDocument/2006/relationships" name="Debt and liquidity" sheetId="2" r:id="R39aa0010726840c7"/>
    <x:sheet xmlns:r="http://schemas.openxmlformats.org/officeDocument/2006/relationships" name="Repayment review" sheetId="3" r:id="R9b0003417e5c473f"/>
    <x:sheet xmlns:r="http://schemas.openxmlformats.org/officeDocument/2006/relationships" name="Data" sheetId="4" r:id="R34b2559cf224497e"/>
    <x:sheet xmlns:r="http://schemas.openxmlformats.org/officeDocument/2006/relationships" name="About" sheetId="5" r:id="Ra50cf1abecf44321"/>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0"/>
      <x:color rgb="FF008000"/>
      <x:name val="Arial"/>
    </x:font>
    <x:font>
      <x:b/>
      <x:sz val="10"/>
      <x:color rgb="FF000000"/>
      <x:name val="Arial"/>
    </x:font>
    <x:font>
      <x:sz val="10"/>
      <x:name val="Arial"/>
    </x:font>
    <x:font>
      <x:sz val="14"/>
      <x:name val="Arial"/>
    </x:font>
    <x:font>
      <x:b/>
      <x:sz val="13"/>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17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0" fillId="0" borderId="0" xfId="0" applyNumberFormat="1" applyFont="1" applyFill="1" applyBorder="1"/>
    <x:xf numFmtId="202" fontId="1" fillId="0" borderId="0" xfId="0" applyNumberFormat="1" applyFont="1" applyFill="1" applyBorder="1"/>
    <x:xf numFmtId="201" fontId="11" fillId="0" borderId="0" xfId="0" applyNumberFormat="1" applyFont="1" applyFill="1" applyBorder="1"/>
    <x:xf numFmtId="200" fontId="10" fillId="0" borderId="0" xfId="0" applyNumberFormat="1" applyFont="1" applyFill="1" applyBorder="1"/>
    <x:xf numFmtId="203" fontId="11" fillId="0" borderId="0" xfId="0" applyNumberFormat="1" applyFont="1" applyFill="1" applyBorder="1"/>
    <x:xf numFmtId="200" fontId="11" fillId="0" borderId="0" xfId="0" applyNumberFormat="1" applyFont="1" applyFill="1" applyBorder="1"/>
    <x:xf numFmtId="0" fontId="10" fillId="0" borderId="0" xfId="0" applyNumberFormat="1" applyFont="1" applyFill="1" applyBorder="1"/>
    <x:xf numFmtId="201" fontId="12" fillId="0" borderId="0" xfId="0" applyNumberFormat="1" applyFont="1" applyFill="1" applyBorder="1"/>
    <x:xf numFmtId="202" fontId="2" fillId="0" borderId="0" xfId="0" applyNumberFormat="1" applyFont="1" applyFill="1" applyBorder="1"/>
    <x:xf numFmtId="201" fontId="13" fillId="0" borderId="0" xfId="0" applyNumberFormat="1" applyFont="1" applyFill="1" applyBorder="1"/>
    <x:xf numFmtId="200" fontId="12" fillId="0" borderId="0" xfId="0" applyNumberFormat="1" applyFont="1" applyFill="1" applyBorder="1"/>
    <x:xf numFmtId="203" fontId="13" fillId="0" borderId="0" xfId="0" applyNumberFormat="1" applyFont="1" applyFill="1" applyBorder="1"/>
    <x:xf numFmtId="200" fontId="13" fillId="0" borderId="0" xfId="0" applyNumberFormat="1" applyFont="1" applyFill="1" applyBorder="1"/>
    <x:xf numFmtId="0" fontId="12" fillId="0" borderId="0" xfId="0" applyNumberFormat="1" applyFont="1" applyFill="1" applyBorder="1"/>
    <x:xf numFmtId="201" fontId="1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1" fontId="13"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203" fontId="13" fillId="0" borderId="0" xfId="0" applyNumberFormat="1" applyFont="1" applyFill="1" applyBorder="1" applyAlignment="1">
      <x:alignment vertical="top"/>
    </x:xf>
    <x:xf numFmtId="200" fontId="13" fillId="0" borderId="0" xfId="0" applyNumberFormat="1" applyFont="1" applyFill="1" applyBorder="1" applyAlignment="1">
      <x:alignment vertical="top"/>
    </x:xf>
    <x:xf numFmtId="0" fontId="12" fillId="0" borderId="0" xfId="0" applyNumberFormat="1" applyFont="1" applyFill="1" applyBorder="1" applyAlignment="1">
      <x:alignment vertical="top"/>
    </x:xf>
    <x:xf numFmtId="201" fontId="1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0" fontId="13"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1" fillId="0" borderId="0" xfId="0" applyNumberFormat="1" applyFont="1" applyFill="1" applyBorder="1"/>
    <x:xf numFmtId="204" fontId="10" fillId="0" borderId="0" xfId="0" applyNumberFormat="1" applyFont="1" applyFill="1" applyBorder="1"/>
    <x:xf numFmtId="0" fontId="13" fillId="0" borderId="0" xfId="0" applyNumberFormat="1" applyFont="1" applyFill="1" applyBorder="1"/>
    <x:xf numFmtId="204" fontId="12" fillId="0" borderId="0" xfId="0" applyNumberFormat="1" applyFont="1" applyFill="1" applyBorder="1"/>
    <x:xf numFmtId="0" fontId="13" fillId="0" borderId="0" xfId="0" applyNumberFormat="1" applyFont="1" applyFill="1" applyBorder="1" applyAlignment="1">
      <x:alignment vertical="top"/>
    </x:xf>
    <x:xf numFmtId="204" fontId="12" fillId="0" borderId="0" xfId="0" applyNumberFormat="1" applyFont="1" applyFill="1" applyBorder="1" applyAlignment="1">
      <x:alignment vertical="top"/>
    </x:xf>
    <x:xf numFmtId="0" fontId="13" fillId="0" borderId="0" xfId="0" applyNumberFormat="1" applyFont="1" applyFill="1" applyBorder="1" applyAlignment="1">
      <x:alignment vertical="top" wrapText="1"/>
    </x:xf>
    <x:xf numFmtId="204" fontId="12"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1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0" fontId="12" fillId="0" borderId="11"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16"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16"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201" fontId="17" fillId="0" borderId="11" xfId="0" applyNumberFormat="1" applyFont="1" applyFill="1" applyBorder="1" applyAlignment="1">
      <x:alignment vertical="top" wrapText="1"/>
    </x:xf>
    <x:xf numFmtId="201" fontId="17" fillId="0" borderId="9" xfId="0" applyNumberFormat="1" applyFont="1" applyFill="1" applyBorder="1" applyAlignment="1">
      <x:alignment vertical="top" wrapText="1"/>
    </x:xf>
    <x:xf numFmtId="0" fontId="18" fillId="0" borderId="5" xfId="0" applyNumberFormat="1" applyFont="1" applyFill="1" applyBorder="1" applyAlignment="1">
      <x:alignment vertical="top" wrapText="1"/>
    </x:xf>
    <x:xf numFmtId="0" fontId="18"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7"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7"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7"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7"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3"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2" fillId="0" borderId="11" xfId="0" applyNumberFormat="1" applyFont="1" applyFill="1" applyBorder="1" applyAlignment="1">
      <x:alignment vertical="top" wrapText="1"/>
    </x:xf>
    <x:xf numFmtId="201" fontId="12" fillId="0" borderId="12"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2" fillId="0" borderId="5" xfId="0" applyNumberFormat="1" applyFont="1" applyFill="1" applyBorder="1" applyAlignment="1">
      <x:alignment vertical="top" wrapText="1"/>
    </x:xf>
    <x:xf numFmtId="202" fontId="12" fillId="0" borderId="11" xfId="0" applyNumberFormat="1" applyFont="1" applyFill="1" applyBorder="1" applyAlignment="1">
      <x:alignment vertical="top" wrapText="1"/>
    </x:xf>
    <x:xf numFmtId="201" fontId="3" fillId="0" borderId="11"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20"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2" fillId="0" borderId="13" xfId="0" applyNumberFormat="1" applyFont="1" applyFill="1" applyBorder="1" applyAlignment="1">
      <x:alignment vertical="top" wrapText="1"/>
    </x:xf>
    <x:xf numFmtId="201" fontId="12"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71fbad6b3e94ee9" /><Relationship Type="http://schemas.openxmlformats.org/officeDocument/2006/relationships/theme" Target="/xl/theme/theme1.xml" Id="Rd56d60d4507246b4" /><Relationship Type="http://schemas.openxmlformats.org/officeDocument/2006/relationships/sharedStrings" Target="/xl/sharedStrings.xml" Id="Rf481b94ee00f4baf" /><Relationship Type="http://schemas.openxmlformats.org/officeDocument/2006/relationships/worksheet" Target="/xl/worksheets/sheet1.xml" Id="Rf70c54d8804b432d" /><Relationship Type="http://schemas.openxmlformats.org/officeDocument/2006/relationships/worksheet" Target="/xl/worksheets/sheet2.xml" Id="R39aa0010726840c7" /><Relationship Type="http://schemas.openxmlformats.org/officeDocument/2006/relationships/worksheet" Target="/xl/worksheets/sheet3.xml" Id="R9b0003417e5c473f" /><Relationship Type="http://schemas.openxmlformats.org/officeDocument/2006/relationships/worksheet" Target="/xl/worksheets/sheet4.xml" Id="R34b2559cf224497e" /><Relationship Type="http://schemas.openxmlformats.org/officeDocument/2006/relationships/worksheet" Target="/xl/worksheets/sheet5.xml" Id="Ra50cf1abecf44321" /></Relationships>
</file>

<file path=xl/drawings/_rels/drawing1.xml.rels>&#65279;<?xml version="1.0" encoding="utf-8"?><Relationships xmlns="http://schemas.openxmlformats.org/package/2006/relationships"><Relationship Type="http://schemas.openxmlformats.org/officeDocument/2006/relationships/chart" Target="/xl/drawings/charts/chart1.xml" Id="R25e97008a7a949a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5e97008a7a949a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648b8cfda5fc4258"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6" hidden="0" customWidth="1"/>
    <x:col min="4" max="4" width="73"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103" t="str">
        <x:v>Value</x:v>
      </x:c>
      <x:c r="C5" s="103" t="str">
        <x:v>Period end</x:v>
      </x:c>
      <x:c r="D5" s="14" t="str">
        <x:v>Basis / limitation</x:v>
      </x:c>
    </x:row>
    <x:row r="6" ht="46" customHeight="1">
      <x:c r="A6" s="25" t="str">
        <x:v>Cash and cash equivalents</x:v>
      </x:c>
      <x:c r="B6" s="81" t="n">
        <x:f>IF(ISNUMBER('Data'!B2),'Data'!B2,NA())</x:f>
        <x:v>8950000000</x:v>
      </x:c>
      <x:c r="C6" s="82" t="d">
        <x:v>2026-06-30T00:00:00.000Z</x:v>
      </x:c>
      <x:c r="D6" s="113" t="str"/>
    </x:row>
    <x:row r="7" ht="68" customHeight="1">
      <x:c r="A7" s="107" t="str">
        <x:v>Baseline gross debt</x:v>
      </x:c>
      <x:c r="B7" s="108" t="n">
        <x:f>IF(ISNUMBER('Data'!B3),'Data'!B3,NA())+IF(ISNUMBER('Data'!B4),'Data'!B4,NA())</x:f>
        <x:v>54908000000</x:v>
      </x:c>
      <x:c r="C7" s="109" t="d">
        <x:v>2026-06-30T00:00:00.000Z</x:v>
      </x:c>
      <x:c r="D7" s="114" t="str">
        <x:v>In this 10-Q, the Note 8 fair-value table's carrying amounts (commercial paper 5,284M plus long-term debt including current portion 49,624M) present the same 54,908M; they are not added. Excluded: fair-value-table carrying amounts of the same borrowings (commercial paper, long-term debt)</x:v>
      </x:c>
    </x:row>
    <x:row r="8" ht="46" customHeight="1">
      <x:c r="A8" s="107" t="str">
        <x:v>Net debt</x:v>
      </x:c>
      <x:c r="B8" s="112" t="n">
        <x:f>B7-B6</x:f>
        <x:v>45958000000</x:v>
      </x:c>
      <x:c r="C8" s="109" t="d">
        <x:v>2026-06-30T00:00:00.000Z</x:v>
      </x:c>
      <x:c r="D8" s="114" t="str"/>
    </x:row>
    <x:row r="9" ht="46" customHeight="1">
      <x:c r="A9" s="25" t="str">
        <x:v>Current ratio</x:v>
      </x:c>
      <x:c r="B9" s="84" t="n">
        <x:f>IF(IF(ISNUMBER('Data'!B5),'Data'!B5,NA())&gt;0,IF(ISNUMBER('Data'!B6),'Data'!B6,NA())/IF(ISNUMBER('Data'!B5),'Data'!B5,NA()),NA())</x:f>
        <x:v>1.3546427598919168</x:v>
      </x:c>
      <x:c r="C9" s="82" t="d">
        <x:v>2026-06-30T00:00:00.000Z</x:v>
      </x:c>
      <x:c r="D9" s="113" t="str"/>
    </x:row>
    <x:row r="10" ht="46" customHeight="1">
      <x:c r="A10" s="25" t="str">
        <x:v>Operating cash flow</x:v>
      </x:c>
      <x:c r="B10" s="81" t="n">
        <x:f>(1*IF(ISNUMBER('Data'!B7),'Data'!B7,NA())) + (1*IF(ISNUMBER('Data'!B8),'Data'!B8,NA())) + (-1*IF(ISNUMBER('Data'!B9),'Data'!B9,NA()))</x:f>
        <x:v>28083000000</x:v>
      </x:c>
      <x:c r="C10" s="82" t="d">
        <x:v>2026-06-30T00:00:00.000Z</x:v>
      </x:c>
      <x:c r="D10" s="113" t="str"/>
    </x:row>
    <x:row r="11" ht="46" customHeight="1">
      <x:c r="A11" s="25" t="str">
        <x:v>Purchases of property and equipment</x:v>
      </x:c>
      <x:c r="B11" s="81" t="n">
        <x:f>(1*IF(ISNUMBER('Data'!B10),'Data'!B10,NA())) + (1*IF(ISNUMBER('Data'!B11),'Data'!B11,NA())) + (-1*IF(ISNUMBER('Data'!B12),'Data'!B12,NA()))</x:f>
        <x:v>9893000000</x:v>
      </x:c>
      <x:c r="C11" s="82" t="d">
        <x:v>2026-06-30T00:00:00.000Z</x:v>
      </x:c>
      <x:c r="D11" s="113" t="str"/>
    </x:row>
    <x:row r="12" ht="46" customHeight="1">
      <x:c r="A12" s="107" t="str">
        <x:v>Free cash flow</x:v>
      </x:c>
      <x:c r="B12" s="112" t="n">
        <x:f>B10-B11</x:f>
        <x:v>18190000000</x:v>
      </x:c>
      <x:c r="C12" s="109" t="d">
        <x:v>2026-06-30T00:00:00.000Z</x:v>
      </x:c>
      <x:c r="D12" s="114" t="str">
        <x:v>Reported purchases of property and equipment; excludes acquisitions and other investing cash flows.</x:v>
      </x:c>
    </x:row>
    <x:row r="13" ht="46" customHeight="1">
      <x:c r="A13" s="25" t="str">
        <x:v>Operating cash flow / debt</x:v>
      </x:c>
      <x:c r="B13" s="85" t="n">
        <x:f>IF(B7&gt;0,B10/B7,NA())</x:f>
        <x:v>0.511455525606469</x:v>
      </x:c>
      <x:c r="C13" s="82" t="d">
        <x:v>2026-06-30T00:00:00.000Z</x:v>
      </x:c>
      <x:c r="D13" s="113" t="str">
        <x:v>Historical TTM flow / period-end debt. Not repayment coverage.</x:v>
      </x:c>
    </x:row>
    <x:row r="14" ht="46" customHeight="1">
      <x:c r="A14" s="25" t="str">
        <x:v>Free cash flow / debt</x:v>
      </x:c>
      <x:c r="B14" s="85" t="n">
        <x:f>IF(B7&gt;0,B12/B7,NA())</x:f>
        <x:v>0.33128141618707657</x:v>
      </x:c>
      <x:c r="C14" s="82" t="d">
        <x:v>2026-06-30T00:00:00.000Z</x:v>
      </x:c>
      <x:c r="D14" s="113" t="str">
        <x:v>Historical TTM flow / period-end debt. Not repayment coverage.</x:v>
      </x:c>
    </x:row>
    <x:row r="15" ht="65" customHeight="1">
      <x:c r="A15" s="26" t="str">
        <x:v>Historical interest coverage</x:v>
      </x:c>
      <x:c r="B15" s="86" t="n">
        <x:f>B50</x:f>
        <x:v>31.17052826691381</x:v>
      </x:c>
      <x:c r="C15" s="87" t="d">
        <x:v>2026-06-30T00:00:00.000Z</x:v>
      </x:c>
      <x:c r="D15" s="18" t="str">
        <x:v>Derived operating income / reported interest expense. Annual net of capitalized interest; interim capitalization basis not explicitly stated.</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103" t="str">
        <x:v>Disclosed amount / timing</x:v>
      </x:c>
      <x:c r="C18" s="14" t="str">
        <x:v>Basis</x:v>
      </x:c>
      <x:c r="D18" s="4"/>
    </x:row>
    <x:row r="19" ht="62" customHeight="1">
      <x:c r="A19" s="88" t="str">
        <x:f>'Data'!A16</x:f>
        <x:v>Pending AtaiBeckley acquisition</x:v>
      </x:c>
      <x:c r="B19" s="89" t="str">
        <x:f>'Data'!B16</x:f>
        <x:v>Approximately $2.8B</x:v>
      </x:c>
      <x:c r="C19" s="90" t="str">
        <x:f>'Data'!I16</x:f>
        <x:v>Potential payment at closing, subject to closing conditions. Not recognized as borrowing.</x:v>
      </x:c>
      <x:c r="D19" s="4"/>
    </x:row>
    <x:row r="20" ht="62" customHeight="1">
      <x:c r="A20" s="91" t="str">
        <x:f>'Data'!A17</x:f>
        <x:v>Venture fund commitments</x:v>
      </x:c>
      <x:c r="B20" s="92" t="str">
        <x:f>'Data'!B17</x:f>
        <x:v>Approximately $806M</x:v>
      </x:c>
      <x:c r="C20" s="93"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53"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103" t="str">
        <x:v>FY2025</x:v>
      </x:c>
      <x:c r="C33" s="103" t="str">
        <x:v>+ H1 2026</x:v>
      </x:c>
      <x:c r="D33" s="14" t="str">
        <x:v>− H1 2025</x:v>
      </x:c>
    </x:row>
    <x:row r="34" ht="44" customHeight="1">
      <x:c r="A34" s="25" t="str">
        <x:v>Revenue</x:v>
      </x:c>
      <x:c r="B34" s="81" t="n">
        <x:f>IF(ISNUMBER('Data'!B68),'Data'!B68,NA())</x:f>
        <x:v>65179000000</x:v>
      </x:c>
      <x:c r="C34" s="81" t="n">
        <x:f>IF(ISNUMBER('Data'!B77),'Data'!B77,NA())</x:f>
        <x:v>42773000000</x:v>
      </x:c>
      <x:c r="D34" s="154" t="n">
        <x:f>IF(ISNUMBER('Data'!B86),'Data'!B86,NA())</x:f>
        <x:v>28286000000</x:v>
      </x:c>
    </x:row>
    <x:row r="35" ht="44" customHeight="1">
      <x:c r="A35" s="25" t="str">
        <x:v>Cost of sales</x:v>
      </x:c>
      <x:c r="B35" s="81" t="n">
        <x:f>IF(ISNUMBER('Data'!B69),'Data'!B69,NA())</x:f>
        <x:v>11052000000</x:v>
      </x:c>
      <x:c r="C35" s="81" t="n">
        <x:f>IF(ISNUMBER('Data'!B78),'Data'!B78,NA())</x:f>
        <x:v>6845000000</x:v>
      </x:c>
      <x:c r="D35" s="154" t="n">
        <x:f>IF(ISNUMBER('Data'!B87),'Data'!B87,NA())</x:f>
        <x:v>4672000000</x:v>
      </x:c>
    </x:row>
    <x:row r="36" ht="44" customHeight="1">
      <x:c r="A36" s="25" t="str">
        <x:v>R&amp;D</x:v>
      </x:c>
      <x:c r="B36" s="81" t="n">
        <x:f>IF(ISNUMBER('Data'!B70),'Data'!B70,NA())</x:f>
        <x:v>13337000000</x:v>
      </x:c>
      <x:c r="C36" s="81" t="n">
        <x:f>IF(ISNUMBER('Data'!B79),'Data'!B79,NA())</x:f>
        <x:v>7329000000</x:v>
      </x:c>
      <x:c r="D36" s="154" t="n">
        <x:f>IF(ISNUMBER('Data'!B88),'Data'!B88,NA())</x:f>
        <x:v>6070000000</x:v>
      </x:c>
    </x:row>
    <x:row r="37" ht="44" customHeight="1">
      <x:c r="A37" s="25" t="str">
        <x:v>SG&amp;A</x:v>
      </x:c>
      <x:c r="B37" s="81" t="n">
        <x:f>IF(ISNUMBER('Data'!B71),'Data'!B71,NA())</x:f>
        <x:v>11094000000</x:v>
      </x:c>
      <x:c r="C37" s="81" t="n">
        <x:f>IF(ISNUMBER('Data'!B80),'Data'!B80,NA())</x:f>
        <x:v>6364000000</x:v>
      </x:c>
      <x:c r="D37" s="154" t="n">
        <x:f>IF(ISNUMBER('Data'!B89),'Data'!B89,NA())</x:f>
        <x:v>5221000000</x:v>
      </x:c>
    </x:row>
    <x:row r="38" ht="44" customHeight="1">
      <x:c r="A38" s="25" t="str">
        <x:v>Acquired IPR&amp;D, expense</x:v>
      </x:c>
      <x:c r="B38" s="81" t="n">
        <x:f>IF(ISNUMBER('Data'!B72),'Data'!B72,NA())</x:f>
        <x:v>2910000000</x:v>
      </x:c>
      <x:c r="C38" s="81" t="n">
        <x:f>IF(ISNUMBER('Data'!B81),'Data'!B81,NA())</x:f>
        <x:v>3360000000</x:v>
      </x:c>
      <x:c r="D38" s="154" t="n">
        <x:f>IF(ISNUMBER('Data'!B90),'Data'!B90,NA())</x:f>
        <x:v>1726000000</x:v>
      </x:c>
    </x:row>
    <x:row r="39" ht="44" customHeight="1">
      <x:c r="A39" s="25" t="str">
        <x:v>Impairment, restructuring and special charges</x:v>
      </x:c>
      <x:c r="B39" s="81" t="n">
        <x:f>IF(ISNUMBER('Data'!B73),'Data'!B73,NA())</x:f>
        <x:v>484000000</x:v>
      </x:c>
      <x:c r="C39" s="81" t="n">
        <x:f>IF(ISNUMBER('Data'!B82),'Data'!B82,NA())</x:f>
        <x:v>982000000</x:v>
      </x:c>
      <x:c r="D39" s="154" t="n">
        <x:f>IF(ISNUMBER('Data'!B91),'Data'!B91,NA())</x:f>
        <x:v>35000000</x:v>
      </x:c>
    </x:row>
    <x:row r="40" ht="44" customHeight="1">
      <x:c r="A40" s="107" t="str">
        <x:v>Derived operating income</x:v>
      </x:c>
      <x:c r="B40" s="146" t="n">
        <x:f>B34-SUM(B35:B39)</x:f>
        <x:v>26302000000</x:v>
      </x:c>
      <x:c r="C40" s="146" t="n">
        <x:f>C34-SUM(C35:C39)</x:f>
        <x:v>17893000000</x:v>
      </x:c>
      <x:c r="D40" s="164" t="n">
        <x:f>D34-SUM(D35:D39)</x:f>
        <x:v>10562000000</x:v>
      </x:c>
    </x:row>
    <x:row r="41" ht="44" customHeight="1">
      <x:c r="A41" s="25" t="str">
        <x:v>Pretax income, reported</x:v>
      </x:c>
      <x:c r="B41" s="81" t="n">
        <x:f>IF(ISNUMBER('Data'!B75),'Data'!B75,NA())</x:f>
        <x:v>25731000000</x:v>
      </x:c>
      <x:c r="C41" s="81" t="n">
        <x:f>IF(ISNUMBER('Data'!B84),'Data'!B84,NA())</x:f>
        <x:v>18097000000</x:v>
      </x:c>
      <x:c r="D41" s="154" t="n">
        <x:f>IF(ISNUMBER('Data'!B93),'Data'!B93,NA())</x:f>
        <x:v>10233000000</x:v>
      </x:c>
    </x:row>
    <x:row r="42" ht="44" customHeight="1">
      <x:c r="A42" s="25" t="str">
        <x:v>Nonoperating income (expense), tagged sign</x:v>
      </x:c>
      <x:c r="B42" s="81" t="n">
        <x:f>IF(ISNUMBER('Data'!B74),'Data'!B74,NA())</x:f>
        <x:v>-571000000</x:v>
      </x:c>
      <x:c r="C42" s="81" t="n">
        <x:f>IF(ISNUMBER('Data'!B83),'Data'!B83,NA())</x:f>
        <x:v>204000000</x:v>
      </x:c>
      <x:c r="D42" s="154" t="n">
        <x:f>IF(ISNUMBER('Data'!B92),'Data'!B92,NA())</x:f>
        <x:v>-329000000</x:v>
      </x:c>
    </x:row>
    <x:row r="43" ht="44" customHeight="1">
      <x:c r="A43" s="25" t="str">
        <x:v>Control: pretax − tagged nonoperating</x:v>
      </x:c>
      <x:c r="B43" s="137" t="n">
        <x:f>B41-B42</x:f>
        <x:v>26302000000</x:v>
      </x:c>
      <x:c r="C43" s="137" t="n">
        <x:f>C41-C42</x:f>
        <x:v>17893000000</x:v>
      </x:c>
      <x:c r="D43" s="155" t="n">
        <x:f>D41-D42</x:f>
        <x:v>10562000000</x:v>
      </x:c>
    </x:row>
    <x:row r="44" ht="44" customHeight="1">
      <x:c r="A44" s="130" t="str">
        <x:v>Reconciliation difference, zero = matched</x:v>
      </x:c>
      <x:c r="B44" s="167" t="n">
        <x:f>B40-B43</x:f>
        <x:v>0</x:v>
      </x:c>
      <x:c r="C44" s="167" t="n">
        <x:f>C40-C43</x:f>
        <x:v>0</x:v>
      </x:c>
      <x:c r="D44" s="168" t="n">
        <x:f>D40-D43</x:f>
        <x:v>0</x:v>
      </x:c>
    </x:row>
    <x:row r="45" ht="44" customHeight="1">
      <x:c r="A45" s="4"/>
      <x:c r="B45" s="135"/>
      <x:c r="C45" s="135"/>
      <x:c r="D45" s="135"/>
    </x:row>
    <x:row r="46" ht="44" customHeight="1">
      <x:c r="A46" s="157" t="str">
        <x:v>Reported interest expense on borrowings</x:v>
      </x:c>
      <x:c r="B46" s="158" t="n">
        <x:f>IF(ISNUMBER('Data'!B76),'Data'!B76,NA())</x:f>
        <x:v>895000000</x:v>
      </x:c>
      <x:c r="C46" s="158" t="n">
        <x:f>IF(ISNUMBER('Data'!B85),'Data'!B85,NA())</x:f>
        <x:v>677000000</x:v>
      </x:c>
      <x:c r="D46" s="159" t="n">
        <x:f>IF(ISNUMBER('Data'!B94),'Data'!B94,NA())</x:f>
        <x:v>493000000</x:v>
      </x:c>
    </x:row>
    <x:row r="47" ht="44" customHeight="1">
      <x:c r="A47" s="4"/>
      <x:c r="B47" s="135"/>
      <x:c r="C47" s="135"/>
      <x:c r="D47" s="135"/>
    </x:row>
    <x:row r="48" ht="44" customHeight="1">
      <x:c r="A48" s="107" t="str">
        <x:v>TTM derived operating income</x:v>
      </x:c>
      <x:c r="B48" s="146" t="n">
        <x:f>B40+C40-D40</x:f>
        <x:v>33633000000</x:v>
      </x:c>
      <x:c r="C48" s="146" t="str">
        <x:v>FY + current H1 − prior H1</x:v>
      </x:c>
      <x:c r="D48" s="164" t="str">
        <x:v>Acquired IPR&amp;D and special charges are retained; no adjusted earnings addbacks.</x:v>
      </x:c>
    </x:row>
    <x:row r="49" ht="44" customHeight="1">
      <x:c r="A49" s="107" t="str">
        <x:v>TTM reported interest expense</x:v>
      </x:c>
      <x:c r="B49" s="146" t="n">
        <x:f>B46+C46-D46</x:f>
        <x:v>1079000000</x:v>
      </x:c>
      <x:c r="C49" s="146" t="str">
        <x:v>FY + current H1 − prior H1</x:v>
      </x:c>
      <x:c r="D49" s="164" t="str">
        <x:v>Annual 895 + H1 2026 677 − H1 2025 493. No capitalized-interest adjustment or interest-income offset.</x:v>
      </x:c>
    </x:row>
    <x:row r="50" ht="44" customHeight="1">
      <x:c r="A50" s="130" t="str">
        <x:v>Historical interest coverage</x:v>
      </x:c>
      <x:c r="B50" s="170" t="n">
        <x:f>IF(AND(B44=0,C44=0,D44=0,B49&gt;0),B48/B49,NA())</x:f>
        <x:v>31.17052826691381</x:v>
      </x:c>
      <x:c r="C50" s="132" t="str">
        <x:v>Operating income / interest</x:v>
      </x:c>
      <x:c r="D50" s="133"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103" t="str">
        <x:v>USD millions</x:v>
      </x:c>
      <x:c r="C6" s="103" t="str">
        <x:v>Period / basis</x:v>
      </x:c>
      <x:c r="D6" s="14" t="str">
        <x:v>Interpretation</x:v>
      </x:c>
      <x:c r="E6" s="4"/>
      <x:c r="F6" s="4"/>
      <x:c r="G6" s="4"/>
    </x:row>
    <x:row r="7" ht="43" customHeight="1">
      <x:c r="A7" s="25" t="str">
        <x:v>Opening cash</x:v>
      </x:c>
      <x:c r="B7" s="81" t="n">
        <x:f>IF(ISNUMBER('Data'!B37),'Data'!B37,NA())</x:f>
        <x:v>7268000000</x:v>
      </x:c>
      <x:c r="C7" s="116" t="str">
        <x:v>December 31, 2025</x:v>
      </x:c>
      <x:c r="D7" s="16" t="str">
        <x:v>Excludes restricted cash. Not an additional half-year flow.</x:v>
      </x:c>
      <x:c r="E7" s="4"/>
      <x:c r="F7" s="4"/>
      <x:c r="G7" s="4"/>
    </x:row>
    <x:row r="8" ht="43" customHeight="1">
      <x:c r="A8" s="25" t="str">
        <x:v>Operating cash flow</x:v>
      </x:c>
      <x:c r="B8" s="81" t="n">
        <x:f>IF(ISNUMBER('Data'!B21),'Data'!B21,NA())</x:f>
        <x:v>16023000000</x:v>
      </x:c>
      <x:c r="C8" s="116" t="str">
        <x:v>January–June 2026</x:v>
      </x:c>
      <x:c r="D8" s="16" t="str">
        <x:v>Historical; includes working capital. Future recurrence not established.</x:v>
      </x:c>
      <x:c r="E8" s="4"/>
      <x:c r="F8" s="4"/>
      <x:c r="G8" s="4"/>
    </x:row>
    <x:row r="9" ht="43" customHeight="1">
      <x:c r="A9" s="25" t="str">
        <x:v>Cash PP&amp;E spending</x:v>
      </x:c>
      <x:c r="B9" s="81" t="n">
        <x:f>-IF(ISNUMBER('Data'!B22),'Data'!B22,NA())</x:f>
        <x:v>-5259000000</x:v>
      </x:c>
      <x:c r="C9" s="116" t="str">
        <x:v>January–June 2026</x:v>
      </x:c>
      <x:c r="D9" s="16" t="str">
        <x:v>Cash use, not a forecast of manufacturing investment.</x:v>
      </x:c>
      <x:c r="E9" s="4"/>
      <x:c r="F9" s="4"/>
      <x:c r="G9" s="4"/>
    </x:row>
    <x:row r="10" ht="43" customHeight="1">
      <x:c r="A10" s="25" t="str">
        <x:v>Cash acquisitions, net of cash acquired</x:v>
      </x:c>
      <x:c r="B10" s="81" t="n">
        <x:f>-IF(ISNUMBER('Data'!B25),'Data'!B25,NA())</x:f>
        <x:v>-9805000000</x:v>
      </x:c>
      <x:c r="C10" s="116" t="str">
        <x:v>January–June 2026</x:v>
      </x:c>
      <x:c r="D10" s="16" t="str">
        <x:v>Not added again to the approximately $13.3B business-development disclosure.</x:v>
      </x:c>
      <x:c r="E10" s="4"/>
      <x:c r="F10" s="4"/>
      <x:c r="G10" s="4"/>
    </x:row>
    <x:row r="11" ht="43" customHeight="1">
      <x:c r="A11" s="25" t="str">
        <x:v>Purchased in-process R&amp;D</x:v>
      </x:c>
      <x:c r="B11" s="81" t="n">
        <x:f>-IF(ISNUMBER('Data'!B24),'Data'!B24,NA())</x:f>
        <x:v>-3486000000</x:v>
      </x:c>
      <x:c r="C11" s="116" t="str">
        <x:v>January–June 2026</x:v>
      </x:c>
      <x:c r="D11" s="16" t="str">
        <x:v>Separate cash use; not all acquisition-related expense is cash.</x:v>
      </x:c>
      <x:c r="E11" s="4"/>
      <x:c r="F11" s="4"/>
      <x:c r="G11" s="4"/>
    </x:row>
    <x:row r="12" ht="43" customHeight="1">
      <x:c r="A12" s="25" t="str">
        <x:v>Cash dividends</x:v>
      </x:c>
      <x:c r="B12" s="81" t="n">
        <x:f>-IF(ISNUMBER('Data'!B28),'Data'!B28,NA())</x:f>
        <x:v>-3094000000</x:v>
      </x:c>
      <x:c r="C12" s="116" t="str">
        <x:v>January–June 2026</x:v>
      </x:c>
      <x:c r="D12" s="16" t="str">
        <x:v>Competes with repayments for cash.</x:v>
      </x:c>
      <x:c r="E12" s="4"/>
      <x:c r="F12" s="4"/>
      <x:c r="G12" s="4"/>
    </x:row>
    <x:row r="13" ht="43" customHeight="1">
      <x:c r="A13" s="25" t="str">
        <x:v>Share repurchases</x:v>
      </x:c>
      <x:c r="B13" s="81" t="n">
        <x:f>-IF(ISNUMBER('Data'!B32),'Data'!B32,NA())</x:f>
        <x:v>-3957000000</x:v>
      </x:c>
      <x:c r="C13" s="116" t="str">
        <x:v>January–June 2026</x:v>
      </x:c>
      <x:c r="D13" s="16" t="str">
        <x:v>Historical spending; no future pace assumed.</x:v>
      </x:c>
      <x:c r="E13" s="4"/>
      <x:c r="F13" s="4"/>
      <x:c r="G13" s="4"/>
    </x:row>
    <x:row r="14" ht="43" customHeight="1">
      <x:c r="A14" s="25" t="str">
        <x:v>Short-term borrowing, net</x:v>
      </x:c>
      <x:c r="B14" s="81" t="n">
        <x:f>IF(ISNUMBER('Data'!B29),'Data'!B29,NA())</x:f>
        <x:v>5284000000</x:v>
      </x:c>
      <x:c r="C14" s="116" t="str">
        <x:v>January–June 2026</x:v>
      </x:c>
      <x:c r="D14" s="16" t="str">
        <x:v>Financing inflow, not recurring operating generation.</x:v>
      </x:c>
      <x:c r="E14" s="4"/>
      <x:c r="F14" s="4"/>
      <x:c r="G14" s="4"/>
    </x:row>
    <x:row r="15" ht="43" customHeight="1">
      <x:c r="A15" s="25" t="str">
        <x:v>Long-term debt proceeds, net</x:v>
      </x:c>
      <x:c r="B15" s="81" t="n">
        <x:f>IF(ISNUMBER('Data'!B30),'Data'!B30,NA())</x:f>
        <x:v>8941000000</x:v>
      </x:c>
      <x:c r="C15" s="116" t="str">
        <x:v>January–June 2026</x:v>
      </x:c>
      <x:c r="D15" s="16" t="str">
        <x:v>May $9B issue is already included here; net cash differs from face amount.</x:v>
      </x:c>
      <x:c r="E15" s="4"/>
      <x:c r="F15" s="4"/>
      <x:c r="G15" s="4"/>
    </x:row>
    <x:row r="16" ht="43" customHeight="1">
      <x:c r="A16" s="25" t="str">
        <x:v>Long-term debt repaid</x:v>
      </x:c>
      <x:c r="B16" s="81" t="n">
        <x:f>-IF(ISNUMBER('Data'!B31),'Data'!B31,NA())</x:f>
        <x:v>-1623000000</x:v>
      </x:c>
      <x:c r="C16" s="116" t="str">
        <x:v>January–June 2026</x:v>
      </x:c>
      <x:c r="D16" s="16" t="str">
        <x:v>Already paid; not a future maturity schedule.</x:v>
      </x:c>
      <x:c r="E16" s="4"/>
      <x:c r="F16" s="4"/>
      <x:c r="G16" s="4"/>
    </x:row>
    <x:row r="17" ht="43" customHeight="1">
      <x:c r="A17" s="25" t="str">
        <x:v>Other investing and financing</x:v>
      </x:c>
      <x:c r="B17" s="81" t="n">
        <x:f>-IF(ISNUMBER('Data'!B23),'Data'!B23,NA())-IF(ISNUMBER('Data'!B26),'Data'!B26,NA())+IF(ISNUMBER('Data'!B33),'Data'!B33,NA())</x:f>
        <x:v>-1357000000</x:v>
      </x:c>
      <x:c r="C17" s="116" t="str">
        <x:v>January–June 2026</x:v>
      </x:c>
      <x:c r="D17" s="16" t="str">
        <x:v>Investment purchases, other investing and other financing.</x:v>
      </x:c>
      <x:c r="E17" s="4"/>
      <x:c r="F17" s="4"/>
      <x:c r="G17" s="4"/>
    </x:row>
    <x:row r="18" ht="43" customHeight="1">
      <x:c r="A18" s="25" t="str">
        <x:v>Exchange-rate effect</x:v>
      </x:c>
      <x:c r="B18" s="81" t="n">
        <x:f>IF(ISNUMBER('Data'!B35),'Data'!B35,NA())</x:f>
        <x:v>15000000</x:v>
      </x:c>
      <x:c r="C18" s="116" t="str">
        <x:v>January–June 2026</x:v>
      </x:c>
      <x:c r="D18" s="16" t="str">
        <x:v>Reconciles the cash balance.</x:v>
      </x:c>
      <x:c r="E18" s="4"/>
      <x:c r="F18" s="4"/>
      <x:c r="G18" s="4"/>
    </x:row>
    <x:row r="19" ht="43" customHeight="1">
      <x:c r="A19" s="107" t="str">
        <x:v>Calculated cash change</x:v>
      </x:c>
      <x:c r="B19" s="112" t="n">
        <x:f>SUM(B8:B18)</x:f>
        <x:v>1682000000</x:v>
      </x:c>
      <x:c r="C19" s="126" t="str">
        <x:v>January–June 2026</x:v>
      </x:c>
      <x:c r="D19" s="110" t="str">
        <x:v>All signed flows counted once.</x:v>
      </x:c>
      <x:c r="E19" s="4"/>
      <x:c r="F19" s="4"/>
      <x:c r="G19" s="4"/>
    </x:row>
    <x:row r="20" ht="43" customHeight="1">
      <x:c r="A20" s="107" t="str">
        <x:v>Calculated closing cash</x:v>
      </x:c>
      <x:c r="B20" s="112" t="n">
        <x:f>B7+B19</x:f>
        <x:v>8950000000</x:v>
      </x:c>
      <x:c r="C20" s="126" t="str">
        <x:v>June 30, 2026</x:v>
      </x:c>
      <x:c r="D20" s="110" t="str">
        <x:v>Opening cash plus change.</x:v>
      </x:c>
      <x:c r="E20" s="4"/>
      <x:c r="F20" s="4"/>
      <x:c r="G20" s="4"/>
    </x:row>
    <x:row r="21" ht="43" customHeight="1">
      <x:c r="A21" s="25" t="str">
        <x:v>Reported closing cash</x:v>
      </x:c>
      <x:c r="B21" s="81" t="n">
        <x:f>IF(ISNUMBER('Data'!B38),'Data'!B38,NA())</x:f>
        <x:v>8950000000</x:v>
      </x:c>
      <x:c r="C21" s="116" t="str">
        <x:v>June 30, 2026</x:v>
      </x:c>
      <x:c r="D21" s="16" t="str">
        <x:v>Not a current cash balance after subsequent payments.</x:v>
      </x:c>
      <x:c r="E21" s="4"/>
      <x:c r="F21" s="4"/>
      <x:c r="G21" s="4"/>
    </x:row>
    <x:row r="22" ht="43" customHeight="1">
      <x:c r="A22" s="107" t="str">
        <x:v>Cash reconciliation difference</x:v>
      </x:c>
      <x:c r="B22" s="112" t="n">
        <x:f>B20-B21</x:f>
        <x:v>0</x:v>
      </x:c>
      <x:c r="C22" s="126" t="str">
        <x:v>Zero = reconciled</x:v>
      </x:c>
      <x:c r="D22" s="110" t="str">
        <x:v>No cash forecast or unrestricted-funding total.</x:v>
      </x:c>
      <x:c r="E22" s="4"/>
      <x:c r="F22" s="4"/>
      <x:c r="G22" s="4"/>
    </x:row>
    <x:row r="23" ht="43" customHeight="1">
      <x:c r="A23" s="107" t="str">
        <x:v>OCF less cash PP&amp;E spending</x:v>
      </x:c>
      <x:c r="B23" s="112" t="n">
        <x:f>B8+B9</x:f>
        <x:v>10764000000</x:v>
      </x:c>
      <x:c r="C23" s="126" t="str">
        <x:v>Historical H1 only</x:v>
      </x:c>
      <x:c r="D23" s="110" t="str">
        <x:v>Excludes acquisitions, payouts and other cash uses.</x:v>
      </x:c>
      <x:c r="E23" s="4"/>
      <x:c r="F23" s="4"/>
      <x:c r="G23" s="4"/>
    </x:row>
    <x:row r="24" ht="43" customHeight="1">
      <x:c r="A24" s="107" t="str">
        <x:v>Net borrowing cash flow</x:v>
      </x:c>
      <x:c r="B24" s="112" t="n">
        <x:f>SUM(B14:B16)</x:f>
        <x:v>12602000000</x:v>
      </x:c>
      <x:c r="C24" s="126" t="str">
        <x:v>Historical H1 only</x:v>
      </x:c>
      <x:c r="D24" s="110" t="str">
        <x:v>Borrowing contributed to closing cash.</x:v>
      </x:c>
      <x:c r="E24" s="4"/>
      <x:c r="F24" s="4"/>
      <x:c r="G24" s="4"/>
    </x:row>
    <x:row r="25" ht="43" customHeight="1">
      <x:c r="A25" s="107" t="str">
        <x:v>Acquisitions + purchased IPR&amp;D</x:v>
      </x:c>
      <x:c r="B25" s="112" t="n">
        <x:f>-SUM(B10:B11)</x:f>
        <x:v>13291000000</x:v>
      </x:c>
      <x:c r="C25" s="126" t="str">
        <x:v>Historical H1 only</x:v>
      </x:c>
      <x:c r="D25" s="110" t="str">
        <x:v>Approximately $13.3B, already spent.</x:v>
      </x:c>
      <x:c r="E25" s="4"/>
      <x:c r="F25" s="4"/>
      <x:c r="G25" s="4"/>
    </x:row>
    <x:row r="26" ht="43" customHeight="1">
      <x:c r="A26" s="130" t="str">
        <x:v>Dividends + buybacks</x:v>
      </x:c>
      <x:c r="B26" s="134" t="n">
        <x:f>-SUM(B12:B13)</x:f>
        <x:v>7051000000</x:v>
      </x:c>
      <x:c r="C26" s="132" t="str">
        <x:v>Historical H1 only</x:v>
      </x:c>
      <x:c r="D26" s="133" t="str">
        <x:v>Not automatically recurring future obligations.</x:v>
      </x:c>
      <x:c r="E26" s="4"/>
      <x:c r="F26" s="4"/>
      <x:c r="G26" s="4"/>
    </x:row>
    <x:row r="27" ht="30" customHeight="1">
      <x:c r="A27" s="4"/>
      <x:c r="B27" s="135"/>
      <x:c r="C27" s="4"/>
      <x:c r="D27" s="4"/>
      <x:c r="E27" s="4"/>
      <x:c r="F27" s="4" t="str">
        <x:v>H1 cash contribution</x:v>
      </x:c>
      <x:c r="G27" s="4" t="str">
        <x:v>USD millions</x:v>
      </x:c>
    </x:row>
    <x:row r="28" ht="30" customHeight="1">
      <x:c r="A28" s="4"/>
      <x:c r="B28" s="135"/>
      <x:c r="C28" s="4"/>
      <x:c r="D28" s="4"/>
      <x:c r="E28" s="4"/>
      <x:c r="F28" s="4" t="str">
        <x:v>Operating cash flow</x:v>
      </x:c>
      <x:c r="G28" s="135" t="n">
        <x:f>B8</x:f>
        <x:v>16023000000</x:v>
      </x:c>
    </x:row>
    <x:row r="29" ht="30" customHeight="1">
      <x:c r="A29" s="13" t="str">
        <x:v>Credit capacity, dates kept separate</x:v>
      </x:c>
      <x:c r="B29" s="136" t="str">
        <x:v>USD millions</x:v>
      </x:c>
      <x:c r="C29" s="103" t="str">
        <x:v>Date / expiry</x:v>
      </x:c>
      <x:c r="D29" s="14" t="str">
        <x:v>Availability limitation</x:v>
      </x:c>
      <x:c r="E29" s="4"/>
      <x:c r="F29" s="4" t="str">
        <x:v>Cash PP&amp;E spending</x:v>
      </x:c>
      <x:c r="G29" s="135" t="n">
        <x:f>B9</x:f>
        <x:v>-5259000000</x:v>
      </x:c>
    </x:row>
    <x:row r="30" ht="70" customHeight="1">
      <x:c r="A30" s="25" t="str">
        <x:v>Unused committed facilities</x:v>
      </x:c>
      <x:c r="B30" s="81" t="n">
        <x:f>IF(ISNUMBER('Data'!B58),'Data'!B58,NA())</x:f>
        <x:v>10100000000</x:v>
      </x:c>
      <x:c r="C30" s="116" t="str">
        <x:v>June 30, 2026</x:v>
      </x:c>
      <x:c r="D30" s="16" t="str">
        <x:v>Reported unused, not cash or verified drawable. $10B supports CP and is not added again.</x:v>
      </x:c>
      <x:c r="E30" s="4"/>
      <x:c r="F30" s="4" t="str">
        <x:v>Acquisitions + purchased IPR&amp;D</x:v>
      </x:c>
      <x:c r="G30" s="135" t="n">
        <x:f>-B25</x:f>
        <x:v>-13291000000</x:v>
      </x:c>
    </x:row>
    <x:row r="31" ht="70" customHeight="1">
      <x:c r="A31" s="25" t="str">
        <x:v>364-day facility expires August 2026</x:v>
      </x:c>
      <x:c r="B31" s="81" t="n">
        <x:f>IF(ISNUMBER('Data'!B56),'Data'!B56,NA())</x:f>
        <x:v>6000000000</x:v>
      </x:c>
      <x:c r="C31" s="116" t="str">
        <x:v>August 2026 expiry</x:v>
      </x:c>
      <x:c r="D31" s="16" t="str">
        <x:v>Annual terms: 364-day facility. Exact expiry day and renewal Unavailable; do not carry June capacity past expiry.</x:v>
      </x:c>
      <x:c r="E31" s="4"/>
      <x:c r="F31" s="4" t="str">
        <x:v>Dividends + buybacks</x:v>
      </x:c>
      <x:c r="G31" s="135" t="n">
        <x:f>-B26</x:f>
        <x:v>-7051000000</x:v>
      </x:c>
    </x:row>
    <x:row r="32" ht="70" customHeight="1">
      <x:c r="A32" s="25" t="str">
        <x:v>Facility expires December 2029</x:v>
      </x:c>
      <x:c r="B32" s="81" t="n">
        <x:f>IF(ISNUMBER('Data'!B57),'Data'!B57,NA())</x:f>
        <x:v>4000000000</x:v>
      </x:c>
      <x:c r="C32" s="116" t="str">
        <x:v>December 2029 expiry</x:v>
      </x:c>
      <x:c r="D32" s="16" t="str">
        <x:v>Annual terms only. Exact day, June facility composition, contract conditions and current draws Unavailable.</x:v>
      </x:c>
      <x:c r="E32" s="4"/>
      <x:c r="F32" s="4" t="str">
        <x:v>Net borrowing</x:v>
      </x:c>
      <x:c r="G32" s="135" t="n">
        <x:f>B24</x:f>
        <x:v>12602000000</x:v>
      </x:c>
    </x:row>
    <x:row r="33" ht="70" customHeight="1">
      <x:c r="A33" s="25"/>
      <x:c r="B33" s="137"/>
      <x:c r="C33" s="116"/>
      <x:c r="D33" s="16"/>
      <x:c r="E33" s="4"/>
      <x:c r="F33" s="4" t="str">
        <x:v>Other cash flows including FX</x:v>
      </x:c>
      <x:c r="G33" s="135" t="n">
        <x:f>B17+B18</x:f>
        <x:v>-1342000000</x:v>
      </x:c>
    </x:row>
    <x:row r="34" ht="70" customHeight="1">
      <x:c r="A34" s="25" t="str">
        <x:v>Drawable credit</x:v>
      </x:c>
      <x:c r="B34" s="137" t="str">
        <x:v>Unavailable</x:v>
      </x:c>
      <x:c r="C34" s="116"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38" t="n">
        <x:f>IF(ISNUMBER('Data'!B55),'Data'!B55,NA())</x:f>
        <x:v>10100000000</x:v>
      </x:c>
      <x:c r="C35" s="118" t="str">
        <x:v>December 31, 2025</x:v>
      </x:c>
      <x:c r="D35" s="18" t="str">
        <x:v>Annual unused total is $10.1B, primarily the $6B and $4B facilities. The residual $0.1B is not separately described.</x:v>
      </x:c>
      <x:c r="E35" s="4"/>
      <x:c r="F35" s="4"/>
      <x:c r="G35" s="4"/>
    </x:row>
    <x:row r="36" ht="30" customHeight="1">
      <x:c r="A36" s="4"/>
      <x:c r="B36" s="135"/>
      <x:c r="C36" s="4"/>
      <x:c r="D36" s="4"/>
      <x:c r="E36" s="4"/>
      <x:c r="F36" s="4"/>
      <x:c r="G36" s="4"/>
    </x:row>
    <x:row r="37" ht="30" customHeight="1">
      <x:c r="A37" s="4"/>
      <x:c r="B37" s="135"/>
      <x:c r="C37" s="4"/>
      <x:c r="D37" s="4"/>
      <x:c r="E37" s="4"/>
      <x:c r="F37" s="4"/>
      <x:c r="G37" s="4"/>
    </x:row>
    <x:row r="38" ht="30" customHeight="1">
      <x:c r="A38" s="13" t="str">
        <x:v>Acquisitions / manufacturing</x:v>
      </x:c>
      <x:c r="B38" s="136" t="str">
        <x:v>USD millions</x:v>
      </x:c>
      <x:c r="C38" s="103" t="str">
        <x:v>Date and classification</x:v>
      </x:c>
      <x:c r="D38" s="14" t="str">
        <x:v>Timing, overlap and funding limitation</x:v>
      </x:c>
      <x:c r="E38" s="4"/>
      <x:c r="F38" s="4"/>
      <x:c r="G38" s="4"/>
    </x:row>
    <x:row r="39" ht="96" customHeight="1">
      <x:c r="A39" s="25" t="str">
        <x:v>Pending AtaiBeckley acquisition</x:v>
      </x:c>
      <x:c r="B39" s="81" t="n">
        <x:f>IF(ISNUMBER('Data'!B60),'Data'!B60,NA())</x:f>
        <x:v>2800000000</x:v>
      </x:c>
      <x:c r="C39" s="116"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81" t="n">
        <x:f>IF(ISNUMBER('Data'!B61),'Data'!B61,NA())</x:f>
        <x:v>208000000</x:v>
      </x:c>
      <x:c r="C40" s="116"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81" t="n">
        <x:f>IF(ISNUMBER('Data'!B62),'Data'!B62,NA())</x:f>
        <x:v>88000000</x:v>
      </x:c>
      <x:c r="C41" s="116"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81" t="n">
        <x:f>IF(ISNUMBER('Data'!B63),'Data'!B63,NA())</x:f>
        <x:v>2000000000</x:v>
      </x:c>
      <x:c r="C42" s="116"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81" t="n">
        <x:f>IF(ISNUMBER('Data'!B64),'Data'!B64,NA())</x:f>
        <x:v>3900000000</x:v>
      </x:c>
      <x:c r="C43" s="116"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81" t="n">
        <x:f>IF(ISNUMBER('Data'!B65),'Data'!B65,NA())</x:f>
        <x:v>806000000</x:v>
      </x:c>
      <x:c r="C44" s="116"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81" t="n">
        <x:f>IF(ISNUMBER('Data'!B66),'Data'!B66,NA())</x:f>
        <x:v>10000000000</x:v>
      </x:c>
      <x:c r="C45" s="116"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38" t="n">
        <x:f>IF(ISNUMBER('Data'!B67),'Data'!B67,NA())</x:f>
        <x:v>4500000000</x:v>
      </x:c>
      <x:c r="C46" s="118"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135"/>
      <x:c r="C47" s="4"/>
      <x:c r="D47" s="4"/>
      <x:c r="E47" s="4"/>
      <x:c r="F47" s="4"/>
      <x:c r="G47" s="4"/>
    </x:row>
    <x:row r="48" ht="68" customHeight="1">
      <x:c r="A48" s="78" t="str">
        <x:v>Contingent consideration fair value</x:v>
      </x:c>
      <x:c r="B48" s="139" t="n">
        <x:f>IF(ISNUMBER('Data'!B41),'Data'!B41,NA())+IF(ISNUMBER('Data'!B42),'Data'!B42,NA())</x:f>
        <x:v>2518000000</x:v>
      </x:c>
      <x:c r="C48" s="79" t="str">
        <x:v>June 30, 2026</x:v>
      </x:c>
      <x:c r="D48" s="80" t="str">
        <x:v>Current $814M + noncurrent $1,704M. Valuation, not dated payment or contractual maximum. Not added to acquisition amounts above.</x:v>
      </x:c>
      <x:c r="E48" s="4"/>
      <x:c r="F48" s="4"/>
      <x:c r="G48" s="4"/>
    </x:row>
    <x:row r="49" ht="68" customHeight="1">
      <x:c r="A49" s="25" t="str">
        <x:v>Future funding coverage</x:v>
      </x:c>
      <x:c r="B49" s="137" t="str">
        <x:v>Unavailable</x:v>
      </x:c>
      <x:c r="C49" s="116"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40" t="str">
        <x:v>Saved filings only</x:v>
      </x:c>
      <x:c r="C50" s="118" t="str">
        <x:v>10-K; 10-Q; Aug 5 Ex. 99.1</x:v>
      </x:c>
      <x:c r="D50" s="18" t="str">
        <x:v>Not a complete SEC filing inventory. No combined total of commitments, milestones, capex plans or debt.</x:v>
      </x:c>
      <x:c r="E50" s="4"/>
      <x:c r="F50" s="4"/>
      <x:c r="G50" s="4"/>
    </x:row>
    <x:row r="51" ht="30" customHeight="1">
      <x:c r="A51" s="4"/>
      <x:c r="B51" s="135"/>
      <x:c r="C51" s="4"/>
      <x:c r="D51" s="4"/>
      <x:c r="E51" s="4"/>
      <x:c r="F51" s="4"/>
      <x:c r="G51" s="4"/>
    </x:row>
    <x:row r="52" ht="30" customHeight="1">
      <x:c r="A52" s="4"/>
      <x:c r="B52" s="135"/>
      <x:c r="C52" s="4"/>
      <x:c r="D52" s="4"/>
      <x:c r="E52" s="4"/>
      <x:c r="F52" s="4"/>
      <x:c r="G52" s="4"/>
    </x:row>
    <x:row r="53" ht="30" customHeight="1">
      <x:c r="A53" s="13" t="str">
        <x:v>Notes grouped by due year</x:v>
      </x:c>
      <x:c r="B53" s="136" t="str">
        <x:v>USD millions</x:v>
      </x:c>
      <x:c r="C53" s="103" t="str">
        <x:v>Basis date</x:v>
      </x:c>
      <x:c r="D53" s="14" t="str">
        <x:v>Interpretation</x:v>
      </x:c>
      <x:c r="E53" s="4"/>
      <x:c r="F53" s="4"/>
      <x:c r="G53" s="4"/>
    </x:row>
    <x:row r="54" ht="43" customHeight="1">
      <x:c r="A54" s="25" t="str">
        <x:v>Notes due 2026</x:v>
      </x:c>
      <x:c r="B54" s="81" t="n">
        <x:f>IF(ISNUMBER('Data'!B43),'Data'!B43,NA())</x:f>
        <x:v>1632000000</x:v>
      </x:c>
      <x:c r="C54" s="116" t="str">
        <x:v>December 31, 2025</x:v>
      </x:c>
      <x:c r="D54" s="16" t="str">
        <x:v>Historical carrying amount; not principal cash payments. Multi-year groups are combined.</x:v>
      </x:c>
      <x:c r="E54" s="4"/>
      <x:c r="F54" s="4"/>
      <x:c r="G54" s="4"/>
    </x:row>
    <x:row r="55" ht="43" customHeight="1">
      <x:c r="A55" s="25" t="str">
        <x:v>Notes due 2027</x:v>
      </x:c>
      <x:c r="B55" s="81" t="n">
        <x:f>IF(ISNUMBER('Data'!B44),'Data'!B44,NA())</x:f>
        <x:v>2516000000</x:v>
      </x:c>
      <x:c r="C55" s="116" t="str">
        <x:v>December 31, 2025</x:v>
      </x:c>
      <x:c r="D55" s="16" t="str">
        <x:v>Historical carrying amount; not principal cash payments. Multi-year groups are combined.</x:v>
      </x:c>
      <x:c r="E55" s="4"/>
      <x:c r="F55" s="4"/>
      <x:c r="G55" s="4"/>
    </x:row>
    <x:row r="56" ht="43" customHeight="1">
      <x:c r="A56" s="25" t="str">
        <x:v>Notes due 2028</x:v>
      </x:c>
      <x:c r="B56" s="81" t="n">
        <x:f>IF(ISNUMBER('Data'!B45),'Data'!B45,NA())</x:f>
        <x:v>3256000000</x:v>
      </x:c>
      <x:c r="C56" s="116" t="str">
        <x:v>December 31, 2025</x:v>
      </x:c>
      <x:c r="D56" s="16" t="str">
        <x:v>Historical carrying amount; not principal cash payments. Multi-year groups are combined.</x:v>
      </x:c>
      <x:c r="E56" s="4"/>
      <x:c r="F56" s="4"/>
      <x:c r="G56" s="4"/>
    </x:row>
    <x:row r="57" ht="43" customHeight="1">
      <x:c r="A57" s="25" t="str">
        <x:v>Notes due 2029</x:v>
      </x:c>
      <x:c r="B57" s="81" t="n">
        <x:f>IF(ISNUMBER('Data'!B46),'Data'!B46,NA())</x:f>
        <x:v>3077000000</x:v>
      </x:c>
      <x:c r="C57" s="116" t="str">
        <x:v>December 31, 2025</x:v>
      </x:c>
      <x:c r="D57" s="16" t="str">
        <x:v>Historical carrying amount; not principal cash payments. Multi-year groups are combined.</x:v>
      </x:c>
      <x:c r="E57" s="4"/>
      <x:c r="F57" s="4"/>
      <x:c r="G57" s="4"/>
    </x:row>
    <x:row r="58" ht="43" customHeight="1">
      <x:c r="A58" s="25" t="str">
        <x:v>Notes due 2030</x:v>
      </x:c>
      <x:c r="B58" s="81" t="n">
        <x:f>IF(ISNUMBER('Data'!B47),'Data'!B47,NA())</x:f>
        <x:v>2132000000</x:v>
      </x:c>
      <x:c r="C58" s="116" t="str">
        <x:v>December 31, 2025</x:v>
      </x:c>
      <x:c r="D58" s="16" t="str">
        <x:v>Historical carrying amount; not principal cash payments. Multi-year groups are combined.</x:v>
      </x:c>
      <x:c r="E58" s="4"/>
      <x:c r="F58" s="4"/>
      <x:c r="G58" s="4"/>
    </x:row>
    <x:row r="59" ht="43" customHeight="1">
      <x:c r="A59" s="25" t="str">
        <x:v>Notes due 2031–2040</x:v>
      </x:c>
      <x:c r="B59" s="81" t="n">
        <x:f>IF(ISNUMBER('Data'!B48),'Data'!B48,NA())</x:f>
        <x:v>11582000000</x:v>
      </x:c>
      <x:c r="C59" s="116" t="str">
        <x:v>December 31, 2025</x:v>
      </x:c>
      <x:c r="D59" s="16" t="str">
        <x:v>Historical carrying amount; not principal cash payments. Multi-year groups are combined.</x:v>
      </x:c>
      <x:c r="E59" s="4"/>
      <x:c r="F59" s="4"/>
      <x:c r="G59" s="4"/>
    </x:row>
    <x:row r="60" ht="43" customHeight="1">
      <x:c r="A60" s="25" t="str">
        <x:v>Notes due 2041–2050</x:v>
      </x:c>
      <x:c r="B60" s="81" t="n">
        <x:f>IF(ISNUMBER('Data'!B49),'Data'!B49,NA())</x:f>
        <x:v>4543000000</x:v>
      </x:c>
      <x:c r="C60" s="116" t="str">
        <x:v>December 31, 2025</x:v>
      </x:c>
      <x:c r="D60" s="16" t="str">
        <x:v>Historical carrying amount; not principal cash payments. Multi-year groups are combined.</x:v>
      </x:c>
      <x:c r="E60" s="4"/>
      <x:c r="F60" s="4"/>
      <x:c r="G60" s="4"/>
    </x:row>
    <x:row r="61" ht="43" customHeight="1">
      <x:c r="A61" s="25" t="str">
        <x:v>Notes due 2051–2060</x:v>
      </x:c>
      <x:c r="B61" s="81" t="n">
        <x:f>IF(ISNUMBER('Data'!B50),'Data'!B50,NA())</x:f>
        <x:v>8280000000</x:v>
      </x:c>
      <x:c r="C61" s="116" t="str">
        <x:v>December 31, 2025</x:v>
      </x:c>
      <x:c r="D61" s="16" t="str">
        <x:v>Historical carrying amount; not principal cash payments. Multi-year groups are combined.</x:v>
      </x:c>
      <x:c r="E61" s="4"/>
      <x:c r="F61" s="4"/>
      <x:c r="G61" s="4"/>
    </x:row>
    <x:row r="62" ht="43" customHeight="1">
      <x:c r="A62" s="25" t="str">
        <x:v>Notes due 2061–2070</x:v>
      </x:c>
      <x:c r="B62" s="81" t="n">
        <x:f>IF(ISNUMBER('Data'!B51),'Data'!B51,NA())</x:f>
        <x:v>5824000000</x:v>
      </x:c>
      <x:c r="C62" s="116" t="str">
        <x:v>December 31, 2025</x:v>
      </x:c>
      <x:c r="D62" s="16" t="str">
        <x:v>Historical carrying amount; not principal cash payments. Multi-year groups are combined.</x:v>
      </x:c>
      <x:c r="E62" s="4"/>
      <x:c r="F62" s="4"/>
      <x:c r="G62" s="4"/>
    </x:row>
    <x:row r="63" ht="43" customHeight="1">
      <x:c r="A63" s="107" t="str">
        <x:v>Total notes</x:v>
      </x:c>
      <x:c r="B63" s="112" t="n">
        <x:f>SUM(B54:B62)</x:f>
        <x:v>42842000000</x:v>
      </x:c>
      <x:c r="C63" s="126" t="str">
        <x:v>December 31, 2025</x:v>
      </x:c>
      <x:c r="D63" s="110" t="str">
        <x:v>Carrying amount; not payment total.</x:v>
      </x:c>
      <x:c r="E63" s="4"/>
      <x:c r="F63" s="4"/>
      <x:c r="G63" s="4"/>
    </x:row>
    <x:row r="64" ht="43" customHeight="1">
      <x:c r="A64" s="25" t="str">
        <x:v>Other debt and adjustments</x:v>
      </x:c>
      <x:c r="B64" s="81" t="n">
        <x:f>-IF(ISNUMBER('Data'!B52),'Data'!B52,NA())</x:f>
        <x:v>-339000000</x:v>
      </x:c>
      <x:c r="C64" s="116" t="str">
        <x:v>December 31, 2025</x:v>
      </x:c>
      <x:c r="D64" s="16" t="str">
        <x:v>Printed as (339). Tagged +339 source magnitude; presentation coefficient −1.</x:v>
      </x:c>
      <x:c r="E64" s="4"/>
      <x:c r="F64" s="4"/>
      <x:c r="G64" s="4"/>
    </x:row>
    <x:row r="65" ht="43" customHeight="1">
      <x:c r="A65" s="25" t="str">
        <x:v>Commercial paper</x:v>
      </x:c>
      <x:c r="B65" s="81" t="n">
        <x:f>IF(ISNUMBER('Data'!B53),'Data'!B53,NA())</x:f>
        <x:v>0</x:v>
      </x:c>
      <x:c r="C65" s="116" t="str">
        <x:v>December 31, 2025</x:v>
      </x:c>
      <x:c r="D65" s="16" t="str">
        <x:v>Reported zero at December 31, 2025.</x:v>
      </x:c>
      <x:c r="E65" s="4"/>
      <x:c r="F65" s="4"/>
      <x:c r="G65" s="4"/>
    </x:row>
    <x:row r="66" ht="43" customHeight="1">
      <x:c r="A66" s="107" t="str">
        <x:v>Calculated total debt</x:v>
      </x:c>
      <x:c r="B66" s="112" t="n">
        <x:f>SUM(B63:B65)</x:f>
        <x:v>42503000000</x:v>
      </x:c>
      <x:c r="C66" s="126" t="str">
        <x:v>December 31, 2025</x:v>
      </x:c>
      <x:c r="D66" s="110" t="str">
        <x:v>Same annual filing; no roll-forward to June.</x:v>
      </x:c>
      <x:c r="E66" s="4"/>
      <x:c r="F66" s="4"/>
      <x:c r="G66" s="4"/>
    </x:row>
    <x:row r="67" ht="43" customHeight="1">
      <x:c r="A67" s="25" t="str">
        <x:v>Reported total debt</x:v>
      </x:c>
      <x:c r="B67" s="81" t="n">
        <x:f>IF(ISNUMBER('Data'!B54),'Data'!B54,NA())</x:f>
        <x:v>42503000000</x:v>
      </x:c>
      <x:c r="C67" s="116" t="str">
        <x:v>December 31, 2025</x:v>
      </x:c>
      <x:c r="D67" s="16" t="str">
        <x:v>Reconciles to annual balance sheet.</x:v>
      </x:c>
      <x:c r="E67" s="4"/>
      <x:c r="F67" s="4"/>
      <x:c r="G67" s="4"/>
    </x:row>
    <x:row r="68" ht="43" customHeight="1">
      <x:c r="A68" s="130" t="str">
        <x:v>Debt reconciliation difference</x:v>
      </x:c>
      <x:c r="B68" s="134" t="n">
        <x:f>B66-B67</x:f>
        <x:v>0</x:v>
      </x:c>
      <x:c r="C68" s="132" t="str">
        <x:v>December 31, 2025</x:v>
      </x:c>
      <x:c r="D68" s="133" t="str">
        <x:v>Zero = reconciled.</x:v>
      </x:c>
      <x:c r="E68" s="4"/>
      <x:c r="F68" s="4"/>
      <x:c r="G68" s="4"/>
    </x:row>
    <x:row r="69" ht="30" customHeight="1">
      <x:c r="A69" s="4"/>
      <x:c r="B69" s="4"/>
      <x:c r="C69" s="4"/>
      <x:c r="D69" s="4"/>
      <x:c r="E69" s="4"/>
      <x:c r="F69" s="4"/>
      <x:c r="G69" s="4"/>
    </x:row>
    <x:row r="70" ht="80" customHeight="1">
      <x:c r="A70" s="78" t="str">
        <x:v>June 30 principal schedule</x:v>
      </x:c>
      <x:c r="B70" s="79" t="str">
        <x:v>Unavailable</x:v>
      </x:c>
      <x:c r="C70" s="79" t="str">
        <x:v>Updated payment dates missing</x:v>
      </x:c>
      <x:c r="D70" s="80" t="str">
        <x:v>Do not allocate May issuance or H1 repayments to annual buckets. Current borrowing $7.050B is not an instrument-level schedule.</x:v>
      </x:c>
      <x:c r="E70" s="4"/>
      <x:c r="F70" s="4"/>
      <x:c r="G70" s="4"/>
    </x:row>
    <x:row r="71" ht="80" customHeight="1">
      <x:c r="A71" s="26" t="str">
        <x:v>Repayment conclusion</x:v>
      </x:c>
      <x:c r="B71" s="118"/>
      <x:c r="C71" s="118"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103" t="str">
        <x:v>Initial principal, USD millions</x:v>
      </x:c>
      <x:c r="C76" s="103" t="str">
        <x:v>Stated maturity</x:v>
      </x:c>
      <x:c r="D76" s="14" t="str">
        <x:v>Contract rate</x:v>
      </x:c>
      <x:c r="E76" s="4"/>
      <x:c r="F76" s="4"/>
      <x:c r="G76" s="4"/>
    </x:row>
    <x:row r="77" ht="43" customHeight="1">
      <x:c r="A77" s="25" t="str">
        <x:v>Floating 2028</x:v>
      </x:c>
      <x:c r="B77" s="81" t="n">
        <x:f>IF(ISNUMBER('Data'!B95),'Data'!B95,NA())</x:f>
        <x:v>750000000</x:v>
      </x:c>
      <x:c r="C77" s="144" t="n">
        <x:f>'Data'!E95</x:f>
        <x:v>46893</x:v>
      </x:c>
      <x:c r="D77" s="90" t="str">
        <x:f>"Compounded SOFR + "&amp;TEXT('Data'!T95,"0.000%")</x:f>
        <x:v>Compounded SOFR + 0.350%</x:v>
      </x:c>
      <x:c r="E77" s="4"/>
      <x:c r="F77" s="4"/>
      <x:c r="G77" s="4"/>
    </x:row>
    <x:row r="78" ht="43" customHeight="1">
      <x:c r="A78" s="25" t="str">
        <x:v>Floating 2029</x:v>
      </x:c>
      <x:c r="B78" s="81" t="n">
        <x:f>IF(ISNUMBER('Data'!B96),'Data'!B96,NA())</x:f>
        <x:v>500000000</x:v>
      </x:c>
      <x:c r="C78" s="144" t="n">
        <x:f>'Data'!E96</x:f>
        <x:v>47258</x:v>
      </x:c>
      <x:c r="D78" s="90" t="str">
        <x:f>"Compounded SOFR + "&amp;TEXT('Data'!T96,"0.000%")</x:f>
        <x:v>Compounded SOFR + 0.460%</x:v>
      </x:c>
      <x:c r="E78" s="4"/>
      <x:c r="F78" s="4"/>
      <x:c r="G78" s="4"/>
    </x:row>
    <x:row r="79" ht="43" customHeight="1">
      <x:c r="A79" s="25" t="str">
        <x:v>Fixed 2029</x:v>
      </x:c>
      <x:c r="B79" s="81" t="n">
        <x:f>IF(ISNUMBER('Data'!B97),'Data'!B97,NA())</x:f>
        <x:v>750000000</x:v>
      </x:c>
      <x:c r="C79" s="144" t="n">
        <x:f>'Data'!E97</x:f>
        <x:v>47258</x:v>
      </x:c>
      <x:c r="D79" s="143" t="n">
        <x:f>'Data'!S97</x:f>
        <x:v>0.0415</x:v>
      </x:c>
      <x:c r="E79" s="4"/>
      <x:c r="F79" s="4"/>
      <x:c r="G79" s="4"/>
    </x:row>
    <x:row r="80" ht="43" customHeight="1">
      <x:c r="A80" s="25" t="str">
        <x:v>Fixed 2031</x:v>
      </x:c>
      <x:c r="B80" s="81" t="n">
        <x:f>IF(ISNUMBER('Data'!B98),'Data'!B98,NA())</x:f>
        <x:v>1500000000</x:v>
      </x:c>
      <x:c r="C80" s="144" t="n">
        <x:f>'Data'!E98</x:f>
        <x:v>47988</x:v>
      </x:c>
      <x:c r="D80" s="143" t="n">
        <x:f>'Data'!S98</x:f>
        <x:v>0.04375</x:v>
      </x:c>
      <x:c r="E80" s="4"/>
      <x:c r="F80" s="4"/>
      <x:c r="G80" s="4"/>
    </x:row>
    <x:row r="81" ht="43" customHeight="1">
      <x:c r="A81" s="25" t="str">
        <x:v>Fixed 2033</x:v>
      </x:c>
      <x:c r="B81" s="81" t="n">
        <x:f>IF(ISNUMBER('Data'!B99),'Data'!B99,NA())</x:f>
        <x:v>1250000000</x:v>
      </x:c>
      <x:c r="C81" s="144" t="n">
        <x:f>'Data'!E99</x:f>
        <x:v>48719</x:v>
      </x:c>
      <x:c r="D81" s="143" t="n">
        <x:f>'Data'!S99</x:f>
        <x:v>0.0465</x:v>
      </x:c>
      <x:c r="E81" s="4"/>
      <x:c r="F81" s="4"/>
      <x:c r="G81" s="4"/>
    </x:row>
    <x:row r="82" ht="43" customHeight="1">
      <x:c r="A82" s="25" t="str">
        <x:v>Fixed 2036</x:v>
      </x:c>
      <x:c r="B82" s="81" t="n">
        <x:f>IF(ISNUMBER('Data'!B100),'Data'!B100,NA())</x:f>
        <x:v>1500000000</x:v>
      </x:c>
      <x:c r="C82" s="144" t="n">
        <x:f>'Data'!E100</x:f>
        <x:v>49815</x:v>
      </x:c>
      <x:c r="D82" s="143" t="n">
        <x:f>'Data'!S100</x:f>
        <x:v>0.0485</x:v>
      </x:c>
      <x:c r="E82" s="4"/>
      <x:c r="F82" s="4"/>
      <x:c r="G82" s="4"/>
    </x:row>
    <x:row r="83" ht="43" customHeight="1">
      <x:c r="A83" s="25" t="str">
        <x:v>Fixed 2056</x:v>
      </x:c>
      <x:c r="B83" s="81" t="n">
        <x:f>IF(ISNUMBER('Data'!B101),'Data'!B101,NA())</x:f>
        <x:v>1750000000</x:v>
      </x:c>
      <x:c r="C83" s="144" t="n">
        <x:f>'Data'!E101</x:f>
        <x:v>57120</x:v>
      </x:c>
      <x:c r="D83" s="143" t="n">
        <x:f>'Data'!S101</x:f>
        <x:v>0.056</x:v>
      </x:c>
      <x:c r="E83" s="4"/>
      <x:c r="F83" s="4"/>
      <x:c r="G83" s="4"/>
    </x:row>
    <x:row r="84" ht="43" customHeight="1">
      <x:c r="A84" s="25" t="str">
        <x:v>Fixed 2066</x:v>
      </x:c>
      <x:c r="B84" s="81" t="n">
        <x:f>IF(ISNUMBER('Data'!B102),'Data'!B102,NA())</x:f>
        <x:v>1000000000</x:v>
      </x:c>
      <x:c r="C84" s="144" t="n">
        <x:f>'Data'!E102</x:f>
        <x:v>60772</x:v>
      </x:c>
      <x:c r="D84" s="143" t="n">
        <x:f>'Data'!S102</x:f>
        <x:v>0.057</x:v>
      </x:c>
      <x:c r="E84" s="4"/>
      <x:c r="F84" s="4"/>
      <x:c r="G84" s="4"/>
    </x:row>
    <x:row r="85" ht="43" customHeight="1">
      <x:c r="A85" s="107" t="str">
        <x:v>Calculated initial issue total</x:v>
      </x:c>
      <x:c r="B85" s="146" t="n">
        <x:f>SUM(B77:B84)</x:f>
        <x:v>9000000000</x:v>
      </x:c>
      <x:c r="C85" s="126" t="str">
        <x:v>May 20, 2026</x:v>
      </x:c>
      <x:c r="D85" s="110" t="str">
        <x:v>Eight series; not additional June debt.</x:v>
      </x:c>
      <x:c r="E85" s="4"/>
      <x:c r="F85" s="4"/>
      <x:c r="G85" s="4"/>
    </x:row>
    <x:row r="86" ht="43" customHeight="1">
      <x:c r="A86" s="25" t="str">
        <x:v>Reported completed issue total</x:v>
      </x:c>
      <x:c r="B86" s="81" t="n">
        <x:f>IF(ISNUMBER('Data'!B103),'Data'!B103,NA())</x:f>
        <x:v>9000000000</x:v>
      </x:c>
      <x:c r="C86" s="116" t="str">
        <x:v>May 20, 2026</x:v>
      </x:c>
      <x:c r="D86" s="16" t="str">
        <x:v>8-K Item 8.01; face principal differs from net cash proceeds.</x:v>
      </x:c>
      <x:c r="E86" s="4"/>
      <x:c r="F86" s="4"/>
      <x:c r="G86" s="4"/>
    </x:row>
    <x:row r="87" ht="43" customHeight="1">
      <x:c r="A87" s="107" t="str">
        <x:v>Issue reconciliation difference</x:v>
      </x:c>
      <x:c r="B87" s="146" t="n">
        <x:f>B85-B86</x:f>
        <x:v>0</x:v>
      </x:c>
      <x:c r="C87" s="126" t="str">
        <x:v>Zero = reconciled</x:v>
      </x:c>
      <x:c r="D87" s="110" t="str">
        <x:v>No roll-forward to June outstanding principal.</x:v>
      </x:c>
      <x:c r="E87" s="4"/>
      <x:c r="F87" s="4"/>
      <x:c r="G87" s="4"/>
    </x:row>
    <x:row r="88" ht="43" customHeight="1">
      <x:c r="A88" s="25" t="str">
        <x:v>Current outstanding by series</x:v>
      </x:c>
      <x:c r="B88" s="116" t="str">
        <x:v>Unavailable</x:v>
      </x:c>
      <x:c r="C88" s="116" t="str">
        <x:v>June / October 2026</x:v>
      </x:c>
      <x:c r="D88" s="16" t="str">
        <x:v>Initial issue amounts do not establish current balances.</x:v>
      </x:c>
      <x:c r="E88" s="4"/>
      <x:c r="F88" s="4"/>
      <x:c r="G88" s="4"/>
    </x:row>
    <x:row r="89" ht="43" customHeight="1">
      <x:c r="A89" s="26" t="str">
        <x:v>Drawable capacity / future coverage</x:v>
      </x:c>
      <x:c r="B89" s="118" t="str">
        <x:v>Unavailable</x:v>
      </x:c>
      <x:c r="C89" s="118"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648b8cfda5fc4258"/>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103" t="str">
        <x:v>USD millions</x:v>
      </x:c>
      <x:c r="C1" s="103" t="str">
        <x:v>Period start</x:v>
      </x:c>
      <x:c r="D1" s="103" t="str">
        <x:v>Period end</x:v>
      </x:c>
      <x:c r="E1" s="103" t="str">
        <x:v>Form</x:v>
      </x:c>
      <x:c r="F1" s="103" t="str">
        <x:v>Filed</x:v>
      </x:c>
      <x:c r="G1" s="103" t="str">
        <x:v>Accession</x:v>
      </x:c>
      <x:c r="H1" s="103" t="str">
        <x:v>Tag</x:v>
      </x:c>
      <x:c r="I1" s="103" t="str">
        <x:v>Context</x:v>
      </x:c>
      <x:c r="J1" s="103" t="str">
        <x:v>Scale</x:v>
      </x:c>
      <x:c r="K1" s="103" t="str">
        <x:v>Decimals</x:v>
      </x:c>
      <x:c r="L1" s="103" t="str">
        <x:v>Source</x:v>
      </x:c>
      <x:c r="M1" s="103" t="str">
        <x:v>Selection rule</x:v>
      </x:c>
      <x:c r="N1" s="103" t="str">
        <x:v>Unavailable reason</x:v>
      </x:c>
      <x:c r="O1" s="14" t="str">
        <x:v>Notes</x:v>
      </x:c>
      <x:c r="P1" s="4"/>
      <x:c r="Q1" s="4"/>
      <x:c r="R1" s="4"/>
      <x:c r="S1" s="4"/>
      <x:c r="T1" s="4"/>
    </x:row>
    <x:row r="2" ht="65" customHeight="1">
      <x:c r="A2" s="25" t="str">
        <x:v>Cash and cash equivalents</x:v>
      </x:c>
      <x:c r="B2" s="115" t="n">
        <x:v>8950000000</x:v>
      </x:c>
      <x:c r="C2" s="82"/>
      <x:c r="D2" s="82" t="d">
        <x:v>2026-06-30T00:00:00.000Z</x:v>
      </x:c>
      <x:c r="E2" s="116" t="str">
        <x:v>10-Q</x:v>
      </x:c>
      <x:c r="F2" s="82" t="d">
        <x:v>2026-08-05T00:00:00.000Z</x:v>
      </x:c>
      <x:c r="G2" s="116" t="str">
        <x:v>0000059478-26-000081</x:v>
      </x:c>
      <x:c r="H2" s="116" t="str">
        <x:v>us-gaap:CashAndCashEquivalentsAtCarryingValue</x:v>
      </x:c>
      <x:c r="I2" s="116"/>
      <x:c r="J2" s="116"/>
      <x:c r="K2" s="116"/>
      <x:c r="L2" s="116" t="str">
        <x:v>https://www.sec.gov/Archives/edgar/data/59478/000005947826000081/lly-20260630.htm</x:v>
      </x:c>
      <x:c r="M2" s="116" t="str">
        <x:v>USD instant at the balance-sheet date, from the latest original 10-K or 10-Q itself</x:v>
      </x:c>
      <x:c r="N2" s="116" t="str"/>
      <x:c r="O2" s="16" t="str"/>
      <x:c r="P2" s="4"/>
      <x:c r="Q2" s="4"/>
      <x:c r="R2" s="4"/>
      <x:c r="S2" s="4"/>
      <x:c r="T2" s="4"/>
    </x:row>
    <x:row r="3" ht="65" customHeight="1">
      <x:c r="A3" s="25" t="str">
        <x:v>Short-term borrowings and current maturities of long-term debt</x:v>
      </x:c>
      <x:c r="B3" s="115" t="n">
        <x:v>7050000000</x:v>
      </x:c>
      <x:c r="C3" s="82"/>
      <x:c r="D3" s="82" t="d">
        <x:v>2026-06-30T00:00:00.000Z</x:v>
      </x:c>
      <x:c r="E3" s="116" t="str">
        <x:v>10-Q</x:v>
      </x:c>
      <x:c r="F3" s="82" t="d">
        <x:v>2026-08-05T00:00:00.000Z</x:v>
      </x:c>
      <x:c r="G3" s="116" t="str">
        <x:v>0000059478-26-000081</x:v>
      </x:c>
      <x:c r="H3" s="116" t="str">
        <x:v>us-gaap:DebtCurrent</x:v>
      </x:c>
      <x:c r="I3" s="116"/>
      <x:c r="J3" s="116"/>
      <x:c r="K3" s="116"/>
      <x:c r="L3" s="116" t="str">
        <x:v>https://www.sec.gov/Archives/edgar/data/59478/000005947826000081/lly-20260630.htm</x:v>
      </x:c>
      <x:c r="M3" s="116" t="str">
        <x:v>USD instant at the balance-sheet date, from the latest original 10-K or 10-Q itself</x:v>
      </x:c>
      <x:c r="N3" s="116" t="str"/>
      <x:c r="O3" s="16" t="str"/>
      <x:c r="P3" s="4"/>
      <x:c r="Q3" s="4"/>
      <x:c r="R3" s="4"/>
      <x:c r="S3" s="4"/>
      <x:c r="T3" s="4"/>
    </x:row>
    <x:row r="4" ht="65" customHeight="1">
      <x:c r="A4" s="25" t="str">
        <x:v>Long-term debt</x:v>
      </x:c>
      <x:c r="B4" s="115" t="n">
        <x:v>47858000000</x:v>
      </x:c>
      <x:c r="C4" s="82"/>
      <x:c r="D4" s="82" t="d">
        <x:v>2026-06-30T00:00:00.000Z</x:v>
      </x:c>
      <x:c r="E4" s="116" t="str">
        <x:v>10-Q</x:v>
      </x:c>
      <x:c r="F4" s="82" t="d">
        <x:v>2026-08-05T00:00:00.000Z</x:v>
      </x:c>
      <x:c r="G4" s="116" t="str">
        <x:v>0000059478-26-000081</x:v>
      </x:c>
      <x:c r="H4" s="116" t="str">
        <x:v>us-gaap:LongTermDebtNoncurrent</x:v>
      </x:c>
      <x:c r="I4" s="116"/>
      <x:c r="J4" s="116"/>
      <x:c r="K4" s="116"/>
      <x:c r="L4" s="116" t="str">
        <x:v>https://www.sec.gov/Archives/edgar/data/59478/000005947826000081/lly-20260630.htm</x:v>
      </x:c>
      <x:c r="M4" s="116" t="str">
        <x:v>USD instant at the balance-sheet date, from the latest original 10-K or 10-Q itself</x:v>
      </x:c>
      <x:c r="N4" s="116" t="str"/>
      <x:c r="O4" s="16" t="str"/>
      <x:c r="P4" s="4"/>
      <x:c r="Q4" s="4"/>
      <x:c r="R4" s="4"/>
      <x:c r="S4" s="4"/>
      <x:c r="T4" s="4"/>
    </x:row>
    <x:row r="5" ht="65" customHeight="1">
      <x:c r="A5" s="25" t="str">
        <x:v>Current liabilities</x:v>
      </x:c>
      <x:c r="B5" s="115" t="n">
        <x:v>47741000000</x:v>
      </x:c>
      <x:c r="C5" s="82"/>
      <x:c r="D5" s="82" t="d">
        <x:v>2026-06-30T00:00:00.000Z</x:v>
      </x:c>
      <x:c r="E5" s="116" t="str">
        <x:v>10-Q</x:v>
      </x:c>
      <x:c r="F5" s="82" t="d">
        <x:v>2026-08-05T00:00:00.000Z</x:v>
      </x:c>
      <x:c r="G5" s="116" t="str">
        <x:v>0000059478-26-000081</x:v>
      </x:c>
      <x:c r="H5" s="116" t="str">
        <x:v>us-gaap:LiabilitiesCurrent</x:v>
      </x:c>
      <x:c r="I5" s="116"/>
      <x:c r="J5" s="116"/>
      <x:c r="K5" s="116"/>
      <x:c r="L5" s="116" t="str">
        <x:v>https://www.sec.gov/Archives/edgar/data/59478/000005947826000081/lly-20260630.htm</x:v>
      </x:c>
      <x:c r="M5" s="116" t="str">
        <x:v>USD instant at the balance-sheet date, from the latest original 10-K or 10-Q itself</x:v>
      </x:c>
      <x:c r="N5" s="116" t="str"/>
      <x:c r="O5" s="16" t="str"/>
      <x:c r="P5" s="4"/>
      <x:c r="Q5" s="4"/>
      <x:c r="R5" s="4"/>
      <x:c r="S5" s="4"/>
      <x:c r="T5" s="4"/>
    </x:row>
    <x:row r="6" ht="65" customHeight="1">
      <x:c r="A6" s="25" t="str">
        <x:v>Current assets</x:v>
      </x:c>
      <x:c r="B6" s="115" t="n">
        <x:v>64672000000</x:v>
      </x:c>
      <x:c r="C6" s="82"/>
      <x:c r="D6" s="82" t="d">
        <x:v>2026-06-30T00:00:00.000Z</x:v>
      </x:c>
      <x:c r="E6" s="116" t="str">
        <x:v>10-Q</x:v>
      </x:c>
      <x:c r="F6" s="82" t="d">
        <x:v>2026-08-05T00:00:00.000Z</x:v>
      </x:c>
      <x:c r="G6" s="116" t="str">
        <x:v>0000059478-26-000081</x:v>
      </x:c>
      <x:c r="H6" s="116" t="str">
        <x:v>us-gaap:AssetsCurrent</x:v>
      </x:c>
      <x:c r="I6" s="116"/>
      <x:c r="J6" s="116"/>
      <x:c r="K6" s="116"/>
      <x:c r="L6" s="116" t="str">
        <x:v>https://www.sec.gov/Archives/edgar/data/59478/000005947826000081/lly-20260630.htm</x:v>
      </x:c>
      <x:c r="M6" s="116" t="str">
        <x:v>USD instant at the balance-sheet date, from the latest original 10-K or 10-Q itself</x:v>
      </x:c>
      <x:c r="N6" s="116" t="str"/>
      <x:c r="O6" s="16" t="str"/>
      <x:c r="P6" s="4"/>
      <x:c r="Q6" s="4"/>
      <x:c r="R6" s="4"/>
      <x:c r="S6" s="4"/>
      <x:c r="T6" s="4"/>
    </x:row>
    <x:row r="7" ht="65" customHeight="1">
      <x:c r="A7" s="25" t="str">
        <x:v>Operating cash flow · fiscal year</x:v>
      </x:c>
      <x:c r="B7" s="115" t="n">
        <x:v>16813000000</x:v>
      </x:c>
      <x:c r="C7" s="82" t="d">
        <x:v>2025-01-01T00:00:00.000Z</x:v>
      </x:c>
      <x:c r="D7" s="82" t="d">
        <x:v>2025-12-31T00:00:00.000Z</x:v>
      </x:c>
      <x:c r="E7" s="116" t="str">
        <x:v>10-K</x:v>
      </x:c>
      <x:c r="F7" s="82" t="d">
        <x:v>2026-02-12T00:00:00.000Z</x:v>
      </x:c>
      <x:c r="G7" s="116" t="str">
        <x:v>0000059478-26-000013</x:v>
      </x:c>
      <x:c r="H7" s="116" t="str">
        <x:v>us-gaap:NetCashProvidedByUsedInOperatingActivities</x:v>
      </x:c>
      <x:c r="I7" s="116" t="str">
        <x:v>c-1</x:v>
      </x:c>
      <x:c r="J7" s="116" t="n">
        <x:v>6</x:v>
      </x:c>
      <x:c r="K7" s="116" t="str">
        <x:v>-6</x:v>
      </x:c>
      <x:c r="L7" s="116" t="str">
        <x:v>https://www.sec.gov/Archives/edgar/data/59478/000005947826000013/lly-20251231.htm</x:v>
      </x:c>
      <x:c r="M7" s="116" t="str">
        <x:v>Exact tag, USD duration, exact start and end dates, no dimensions</x:v>
      </x:c>
      <x:c r="N7" s="116" t="str"/>
      <x:c r="O7" s="16" t="str"/>
      <x:c r="P7" s="4"/>
      <x:c r="Q7" s="4"/>
      <x:c r="R7" s="4"/>
      <x:c r="S7" s="4"/>
      <x:c r="T7" s="4"/>
    </x:row>
    <x:row r="8" ht="65" customHeight="1">
      <x:c r="A8" s="25" t="str">
        <x:v>Operating cash flow · current year to date</x:v>
      </x:c>
      <x:c r="B8" s="115" t="n">
        <x:v>16023000000</x:v>
      </x:c>
      <x:c r="C8" s="82" t="d">
        <x:v>2026-01-01T00:00:00.000Z</x:v>
      </x:c>
      <x:c r="D8" s="82" t="d">
        <x:v>2026-06-30T00:00:00.000Z</x:v>
      </x:c>
      <x:c r="E8" s="116" t="str">
        <x:v>10-Q</x:v>
      </x:c>
      <x:c r="F8" s="82" t="d">
        <x:v>2026-08-05T00:00:00.000Z</x:v>
      </x:c>
      <x:c r="G8" s="116" t="str">
        <x:v>0000059478-26-000081</x:v>
      </x:c>
      <x:c r="H8" s="116" t="str">
        <x:v>us-gaap:NetCashProvidedByUsedInOperatingActivities</x:v>
      </x:c>
      <x:c r="I8" s="116" t="str">
        <x:v>c-1</x:v>
      </x:c>
      <x:c r="J8" s="116" t="n">
        <x:v>6</x:v>
      </x:c>
      <x:c r="K8" s="116" t="str">
        <x:v>-6</x:v>
      </x:c>
      <x:c r="L8" s="116" t="str">
        <x:v>https://www.sec.gov/Archives/edgar/data/59478/000005947826000081/lly-20260630.htm</x:v>
      </x:c>
      <x:c r="M8" s="116" t="str">
        <x:v>Exact tag, USD duration, exact start and end dates, no dimensions</x:v>
      </x:c>
      <x:c r="N8" s="116" t="str"/>
      <x:c r="O8" s="16" t="str"/>
      <x:c r="P8" s="4"/>
      <x:c r="Q8" s="4"/>
      <x:c r="R8" s="4"/>
      <x:c r="S8" s="4"/>
      <x:c r="T8" s="4"/>
    </x:row>
    <x:row r="9" ht="65" customHeight="1">
      <x:c r="A9" s="25" t="str">
        <x:v>Operating cash flow · prior year to date</x:v>
      </x:c>
      <x:c r="B9" s="115" t="n">
        <x:v>4753000000</x:v>
      </x:c>
      <x:c r="C9" s="82" t="d">
        <x:v>2025-01-01T00:00:00.000Z</x:v>
      </x:c>
      <x:c r="D9" s="82" t="d">
        <x:v>2025-06-30T00:00:00.000Z</x:v>
      </x:c>
      <x:c r="E9" s="116" t="str">
        <x:v>10-Q</x:v>
      </x:c>
      <x:c r="F9" s="82" t="d">
        <x:v>2026-08-05T00:00:00.000Z</x:v>
      </x:c>
      <x:c r="G9" s="116" t="str">
        <x:v>0000059478-26-000081</x:v>
      </x:c>
      <x:c r="H9" s="116" t="str">
        <x:v>us-gaap:NetCashProvidedByUsedInOperatingActivities</x:v>
      </x:c>
      <x:c r="I9" s="116" t="str">
        <x:v>c-14</x:v>
      </x:c>
      <x:c r="J9" s="116" t="n">
        <x:v>6</x:v>
      </x:c>
      <x:c r="K9" s="116" t="str">
        <x:v>-6</x:v>
      </x:c>
      <x:c r="L9" s="116" t="str">
        <x:v>https://www.sec.gov/Archives/edgar/data/59478/000005947826000081/lly-20260630.htm</x:v>
      </x:c>
      <x:c r="M9" s="116" t="str">
        <x:v>Exact tag, USD duration, exact start and end dates, no dimensions</x:v>
      </x:c>
      <x:c r="N9" s="116" t="str"/>
      <x:c r="O9" s="16" t="str"/>
      <x:c r="P9" s="4"/>
      <x:c r="Q9" s="4"/>
      <x:c r="R9" s="4"/>
      <x:c r="S9" s="4"/>
      <x:c r="T9" s="4"/>
    </x:row>
    <x:row r="10" ht="65" customHeight="1">
      <x:c r="A10" s="25" t="str">
        <x:v>Purchases of property and equipment · fiscal year</x:v>
      </x:c>
      <x:c r="B10" s="115" t="n">
        <x:v>7841000000</x:v>
      </x:c>
      <x:c r="C10" s="82" t="d">
        <x:v>2025-01-01T00:00:00.000Z</x:v>
      </x:c>
      <x:c r="D10" s="82" t="d">
        <x:v>2025-12-31T00:00:00.000Z</x:v>
      </x:c>
      <x:c r="E10" s="116" t="str">
        <x:v>10-K</x:v>
      </x:c>
      <x:c r="F10" s="82" t="d">
        <x:v>2026-02-12T00:00:00.000Z</x:v>
      </x:c>
      <x:c r="G10" s="116" t="str">
        <x:v>0000059478-26-000013</x:v>
      </x:c>
      <x:c r="H10" s="116" t="str">
        <x:v>us-gaap:PaymentsToAcquireOtherPropertyPlantAndEquipment</x:v>
      </x:c>
      <x:c r="I10" s="116" t="str">
        <x:v>c-1</x:v>
      </x:c>
      <x:c r="J10" s="116" t="n">
        <x:v>6</x:v>
      </x:c>
      <x:c r="K10" s="116" t="str">
        <x:v>-6</x:v>
      </x:c>
      <x:c r="L10" s="116" t="str">
        <x:v>https://www.sec.gov/Archives/edgar/data/59478/000005947826000013/lly-20251231.htm</x:v>
      </x:c>
      <x:c r="M10" s="116" t="str">
        <x:v>Exact tag, USD duration, exact start and end dates, no dimensions</x:v>
      </x:c>
      <x:c r="N10" s="116" t="str"/>
      <x:c r="O10" s="16" t="str"/>
      <x:c r="P10" s="4"/>
      <x:c r="Q10" s="4"/>
      <x:c r="R10" s="4"/>
      <x:c r="S10" s="4"/>
      <x:c r="T10" s="4"/>
    </x:row>
    <x:row r="11" ht="65" customHeight="1">
      <x:c r="A11" s="25" t="str">
        <x:v>Purchases of property and equipment · current year to date</x:v>
      </x:c>
      <x:c r="B11" s="115" t="n">
        <x:v>5259000000</x:v>
      </x:c>
      <x:c r="C11" s="82" t="d">
        <x:v>2026-01-01T00:00:00.000Z</x:v>
      </x:c>
      <x:c r="D11" s="82" t="d">
        <x:v>2026-06-30T00:00:00.000Z</x:v>
      </x:c>
      <x:c r="E11" s="116" t="str">
        <x:v>10-Q</x:v>
      </x:c>
      <x:c r="F11" s="82" t="d">
        <x:v>2026-08-05T00:00:00.000Z</x:v>
      </x:c>
      <x:c r="G11" s="116" t="str">
        <x:v>0000059478-26-000081</x:v>
      </x:c>
      <x:c r="H11" s="116" t="str">
        <x:v>us-gaap:PaymentsToAcquireOtherPropertyPlantAndEquipment</x:v>
      </x:c>
      <x:c r="I11" s="116" t="str">
        <x:v>c-1</x:v>
      </x:c>
      <x:c r="J11" s="116" t="n">
        <x:v>6</x:v>
      </x:c>
      <x:c r="K11" s="116" t="str">
        <x:v>-6</x:v>
      </x:c>
      <x:c r="L11" s="116" t="str">
        <x:v>https://www.sec.gov/Archives/edgar/data/59478/000005947826000081/lly-20260630.htm</x:v>
      </x:c>
      <x:c r="M11" s="116" t="str">
        <x:v>Exact tag, USD duration, exact start and end dates, no dimensions</x:v>
      </x:c>
      <x:c r="N11" s="116" t="str"/>
      <x:c r="O11" s="16" t="str"/>
      <x:c r="P11" s="4"/>
      <x:c r="Q11" s="4"/>
      <x:c r="R11" s="4"/>
      <x:c r="S11" s="4"/>
      <x:c r="T11" s="4"/>
    </x:row>
    <x:row r="12" ht="65" customHeight="1">
      <x:c r="A12" s="26" t="str">
        <x:v>Purchases of property and equipment · prior year to date</x:v>
      </x:c>
      <x:c r="B12" s="117" t="n">
        <x:v>3207000000</x:v>
      </x:c>
      <x:c r="C12" s="87" t="d">
        <x:v>2025-01-01T00:00:00.000Z</x:v>
      </x:c>
      <x:c r="D12" s="87" t="d">
        <x:v>2025-06-30T00:00:00.000Z</x:v>
      </x:c>
      <x:c r="E12" s="118" t="str">
        <x:v>10-Q</x:v>
      </x:c>
      <x:c r="F12" s="87" t="d">
        <x:v>2026-08-05T00:00:00.000Z</x:v>
      </x:c>
      <x:c r="G12" s="118" t="str">
        <x:v>0000059478-26-000081</x:v>
      </x:c>
      <x:c r="H12" s="118" t="str">
        <x:v>us-gaap:PaymentsToAcquireOtherPropertyPlantAndEquipment</x:v>
      </x:c>
      <x:c r="I12" s="118" t="str">
        <x:v>c-14</x:v>
      </x:c>
      <x:c r="J12" s="118" t="n">
        <x:v>6</x:v>
      </x:c>
      <x:c r="K12" s="118" t="str">
        <x:v>-6</x:v>
      </x:c>
      <x:c r="L12" s="118" t="str">
        <x:v>https://www.sec.gov/Archives/edgar/data/59478/000005947826000081/lly-20260630.htm</x:v>
      </x:c>
      <x:c r="M12" s="118" t="str">
        <x:v>Exact tag, USD duration, exact start and end dates, no dimensions</x:v>
      </x:c>
      <x:c r="N12" s="118"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103" t="str">
        <x:v>Amount as disclosed</x:v>
      </x:c>
      <x:c r="C15" s="103" t="str">
        <x:v>As of</x:v>
      </x:c>
      <x:c r="D15" s="103" t="str">
        <x:v>Form</x:v>
      </x:c>
      <x:c r="E15" s="103" t="str">
        <x:v>Filed</x:v>
      </x:c>
      <x:c r="F15" s="103" t="str">
        <x:v>Accession</x:v>
      </x:c>
      <x:c r="G15" s="103" t="str">
        <x:v>Source</x:v>
      </x:c>
      <x:c r="H15" s="103"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16" t="str">
        <x:v>Approximately $2.8B</x:v>
      </x:c>
      <x:c r="C16" s="82" t="d">
        <x:v>2026-08-05T00:00:00.000Z</x:v>
      </x:c>
      <x:c r="D16" s="116" t="str">
        <x:v>10-Q</x:v>
      </x:c>
      <x:c r="E16" s="82" t="d">
        <x:v>2026-08-05T00:00:00.000Z</x:v>
      </x:c>
      <x:c r="F16" s="116" t="str">
        <x:v>0000059478-26-000081</x:v>
      </x:c>
      <x:c r="G16" s="116" t="str">
        <x:v>https://www.sec.gov/Archives/edgar/data/59478/000005947826000081/lly-20260630.htm</x:v>
      </x:c>
      <x:c r="H16" s="116"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18" t="str">
        <x:v>Approximately $806M</x:v>
      </x:c>
      <x:c r="C17" s="87" t="d">
        <x:v>2026-06-30T00:00:00.000Z</x:v>
      </x:c>
      <x:c r="D17" s="118" t="str">
        <x:v>10-Q</x:v>
      </x:c>
      <x:c r="E17" s="87" t="d">
        <x:v>2026-08-05T00:00:00.000Z</x:v>
      </x:c>
      <x:c r="F17" s="118" t="str">
        <x:v>0000059478-26-000081</x:v>
      </x:c>
      <x:c r="G17" s="118" t="str">
        <x:v>https://www.sec.gov/Archives/edgar/data/59478/000005947826000081/lly-20260630.htm</x:v>
      </x:c>
      <x:c r="H17" s="118"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103" t="str">
        <x:v>USD millions</x:v>
      </x:c>
      <x:c r="C20" s="103" t="str">
        <x:v>Label</x:v>
      </x:c>
      <x:c r="D20" s="103" t="str">
        <x:v>Period start</x:v>
      </x:c>
      <x:c r="E20" s="103" t="str">
        <x:v>Date / disclosure basis</x:v>
      </x:c>
      <x:c r="F20" s="103" t="str">
        <x:v>Form</x:v>
      </x:c>
      <x:c r="G20" s="103" t="str">
        <x:v>Filed</x:v>
      </x:c>
      <x:c r="H20" s="103" t="str">
        <x:v>Accession</x:v>
      </x:c>
      <x:c r="I20" s="103" t="str">
        <x:v>Tag</x:v>
      </x:c>
      <x:c r="J20" s="103" t="str">
        <x:v>Context</x:v>
      </x:c>
      <x:c r="K20" s="103" t="str">
        <x:v>Scale</x:v>
      </x:c>
      <x:c r="L20" s="103" t="str">
        <x:v>Decimals</x:v>
      </x:c>
      <x:c r="M20" s="103" t="str">
        <x:v>Source</x:v>
      </x:c>
      <x:c r="N20" s="103" t="str">
        <x:v>Filing location</x:v>
      </x:c>
      <x:c r="O20" s="103" t="str">
        <x:v>Source kind</x:v>
      </x:c>
      <x:c r="P20" s="103" t="str">
        <x:v>Dimensions</x:v>
      </x:c>
      <x:c r="Q20" s="103" t="str">
        <x:v>Limitations</x:v>
      </x:c>
      <x:c r="R20" s="14" t="str">
        <x:v>Reviewed source SHA256</x:v>
      </x:c>
      <x:c r="S20" s="13" t="str">
        <x:v>Fixed coupon, fraction</x:v>
      </x:c>
      <x:c r="T20" s="14" t="str">
        <x:v>Compounded SOFR margin, fraction</x:v>
      </x:c>
    </x:row>
    <x:row r="21" ht="85" customHeight="1">
      <x:c r="A21" s="25" t="str">
        <x:v>ocf</x:v>
      </x:c>
      <x:c r="B21" s="115" t="n">
        <x:v>16023000000</x:v>
      </x:c>
      <x:c r="C21" s="116" t="str">
        <x:v>Operating cash flow</x:v>
      </x:c>
      <x:c r="D21" s="82" t="d">
        <x:v>2026-01-01T00:00:00.000Z</x:v>
      </x:c>
      <x:c r="E21" s="82" t="d">
        <x:v>2026-06-30T00:00:00.000Z</x:v>
      </x:c>
      <x:c r="F21" s="116" t="str">
        <x:v>10-Q</x:v>
      </x:c>
      <x:c r="G21" s="82" t="d">
        <x:v>2026-08-05T00:00:00.000Z</x:v>
      </x:c>
      <x:c r="H21" s="116" t="str">
        <x:v>0000059478-26-000081</x:v>
      </x:c>
      <x:c r="I21" s="116" t="str">
        <x:v>us-gaap:NetCashProvidedByUsedInOperatingActivities</x:v>
      </x:c>
      <x:c r="J21" s="116" t="str">
        <x:v>c-1</x:v>
      </x:c>
      <x:c r="K21" s="116" t="n">
        <x:v>6</x:v>
      </x:c>
      <x:c r="L21" s="116" t="str">
        <x:v>-6</x:v>
      </x:c>
      <x:c r="M21" s="116" t="str">
        <x:v>https://www.sec.gov/Archives/edgar/data/59478/000005947826000081/lly-20260630.htm</x:v>
      </x:c>
      <x:c r="N21" s="116" t="str">
        <x:v>Cash flows p. 8</x:v>
      </x:c>
      <x:c r="O21" s="116" t="str">
        <x:v>Inline XBRL</x:v>
      </x:c>
      <x:c r="P21" s="116" t="str">
        <x:v>[]</x:v>
      </x:c>
      <x:c r="Q21" s="116" t="str"/>
      <x:c r="R21" s="16" t="str">
        <x:v>8e8f10cf3af98bc12a41985a98cfde9c2b9da8a812af18515d34ce3d8e1c1b3d</x:v>
      </x:c>
      <x:c r="S21" s="149"/>
      <x:c r="T21" s="150"/>
    </x:row>
    <x:row r="22" ht="85" customHeight="1">
      <x:c r="A22" s="25" t="str">
        <x:v>capex</x:v>
      </x:c>
      <x:c r="B22" s="115" t="n">
        <x:v>5259000000</x:v>
      </x:c>
      <x:c r="C22" s="116" t="str">
        <x:v>Cash purchases of other PP&amp;E</x:v>
      </x:c>
      <x:c r="D22" s="82" t="d">
        <x:v>2026-01-01T00:00:00.000Z</x:v>
      </x:c>
      <x:c r="E22" s="82" t="d">
        <x:v>2026-06-30T00:00:00.000Z</x:v>
      </x:c>
      <x:c r="F22" s="116" t="str">
        <x:v>10-Q</x:v>
      </x:c>
      <x:c r="G22" s="82" t="d">
        <x:v>2026-08-05T00:00:00.000Z</x:v>
      </x:c>
      <x:c r="H22" s="116" t="str">
        <x:v>0000059478-26-000081</x:v>
      </x:c>
      <x:c r="I22" s="116" t="str">
        <x:v>us-gaap:PaymentsToAcquireOtherPropertyPlantAndEquipment</x:v>
      </x:c>
      <x:c r="J22" s="116" t="str">
        <x:v>c-1</x:v>
      </x:c>
      <x:c r="K22" s="116" t="n">
        <x:v>6</x:v>
      </x:c>
      <x:c r="L22" s="116" t="str">
        <x:v>-6</x:v>
      </x:c>
      <x:c r="M22" s="116" t="str">
        <x:v>https://www.sec.gov/Archives/edgar/data/59478/000005947826000081/lly-20260630.htm</x:v>
      </x:c>
      <x:c r="N22" s="116" t="str">
        <x:v>Cash flows p. 8</x:v>
      </x:c>
      <x:c r="O22" s="116" t="str">
        <x:v>Inline XBRL</x:v>
      </x:c>
      <x:c r="P22" s="116" t="str">
        <x:v>[]</x:v>
      </x:c>
      <x:c r="Q22" s="116" t="str"/>
      <x:c r="R22" s="16" t="str">
        <x:v>8e8f10cf3af98bc12a41985a98cfde9c2b9da8a812af18515d34ce3d8e1c1b3d</x:v>
      </x:c>
      <x:c r="S22" s="149"/>
      <x:c r="T22" s="150"/>
    </x:row>
    <x:row r="23" ht="85" customHeight="1">
      <x:c r="A23" s="25" t="str">
        <x:v>investments</x:v>
      </x:c>
      <x:c r="B23" s="115" t="n">
        <x:v>604000000</x:v>
      </x:c>
      <x:c r="C23" s="116" t="str">
        <x:v>Investment purchases</x:v>
      </x:c>
      <x:c r="D23" s="82" t="d">
        <x:v>2026-01-01T00:00:00.000Z</x:v>
      </x:c>
      <x:c r="E23" s="82" t="d">
        <x:v>2026-06-30T00:00:00.000Z</x:v>
      </x:c>
      <x:c r="F23" s="116" t="str">
        <x:v>10-Q</x:v>
      </x:c>
      <x:c r="G23" s="82" t="d">
        <x:v>2026-08-05T00:00:00.000Z</x:v>
      </x:c>
      <x:c r="H23" s="116" t="str">
        <x:v>0000059478-26-000081</x:v>
      </x:c>
      <x:c r="I23" s="116" t="str">
        <x:v>us-gaap:PaymentsToAcquireOtherInvestments</x:v>
      </x:c>
      <x:c r="J23" s="116" t="str">
        <x:v>c-1</x:v>
      </x:c>
      <x:c r="K23" s="116" t="n">
        <x:v>6</x:v>
      </x:c>
      <x:c r="L23" s="116" t="str">
        <x:v>-6</x:v>
      </x:c>
      <x:c r="M23" s="116" t="str">
        <x:v>https://www.sec.gov/Archives/edgar/data/59478/000005947826000081/lly-20260630.htm</x:v>
      </x:c>
      <x:c r="N23" s="116" t="str">
        <x:v>Cash flows p. 8</x:v>
      </x:c>
      <x:c r="O23" s="116" t="str">
        <x:v>Inline XBRL</x:v>
      </x:c>
      <x:c r="P23" s="116" t="str">
        <x:v>[]</x:v>
      </x:c>
      <x:c r="Q23" s="116" t="str"/>
      <x:c r="R23" s="16" t="str">
        <x:v>8e8f10cf3af98bc12a41985a98cfde9c2b9da8a812af18515d34ce3d8e1c1b3d</x:v>
      </x:c>
      <x:c r="S23" s="149"/>
      <x:c r="T23" s="150"/>
    </x:row>
    <x:row r="24" ht="85" customHeight="1">
      <x:c r="A24" s="25" t="str">
        <x:v>iprd</x:v>
      </x:c>
      <x:c r="B24" s="115" t="n">
        <x:v>3486000000</x:v>
      </x:c>
      <x:c r="C24" s="116" t="str">
        <x:v>Purchased in-process R&amp;D</x:v>
      </x:c>
      <x:c r="D24" s="82" t="d">
        <x:v>2026-01-01T00:00:00.000Z</x:v>
      </x:c>
      <x:c r="E24" s="82" t="d">
        <x:v>2026-06-30T00:00:00.000Z</x:v>
      </x:c>
      <x:c r="F24" s="116" t="str">
        <x:v>10-Q</x:v>
      </x:c>
      <x:c r="G24" s="82" t="d">
        <x:v>2026-08-05T00:00:00.000Z</x:v>
      </x:c>
      <x:c r="H24" s="116" t="str">
        <x:v>0000059478-26-000081</x:v>
      </x:c>
      <x:c r="I24" s="116" t="str">
        <x:v>us-gaap:PaymentsToAcquireInProcessResearchAndDevelopment</x:v>
      </x:c>
      <x:c r="J24" s="116" t="str">
        <x:v>c-1</x:v>
      </x:c>
      <x:c r="K24" s="116" t="n">
        <x:v>6</x:v>
      </x:c>
      <x:c r="L24" s="116" t="str">
        <x:v>-6</x:v>
      </x:c>
      <x:c r="M24" s="116" t="str">
        <x:v>https://www.sec.gov/Archives/edgar/data/59478/000005947826000081/lly-20260630.htm</x:v>
      </x:c>
      <x:c r="N24" s="116" t="str">
        <x:v>Cash flows p. 8</x:v>
      </x:c>
      <x:c r="O24" s="116" t="str">
        <x:v>Inline XBRL</x:v>
      </x:c>
      <x:c r="P24" s="116" t="str">
        <x:v>[]</x:v>
      </x:c>
      <x:c r="Q24" s="116" t="str"/>
      <x:c r="R24" s="16" t="str">
        <x:v>8e8f10cf3af98bc12a41985a98cfde9c2b9da8a812af18515d34ce3d8e1c1b3d</x:v>
      </x:c>
      <x:c r="S24" s="149"/>
      <x:c r="T24" s="150"/>
    </x:row>
    <x:row r="25" ht="85" customHeight="1">
      <x:c r="A25" s="25" t="str">
        <x:v>acquisitions</x:v>
      </x:c>
      <x:c r="B25" s="115" t="n">
        <x:v>9805000000</x:v>
      </x:c>
      <x:c r="C25" s="116" t="str">
        <x:v>Acquisitions, net of cash acquired</x:v>
      </x:c>
      <x:c r="D25" s="82" t="d">
        <x:v>2026-01-01T00:00:00.000Z</x:v>
      </x:c>
      <x:c r="E25" s="82" t="d">
        <x:v>2026-06-30T00:00:00.000Z</x:v>
      </x:c>
      <x:c r="F25" s="116" t="str">
        <x:v>10-Q</x:v>
      </x:c>
      <x:c r="G25" s="82" t="d">
        <x:v>2026-08-05T00:00:00.000Z</x:v>
      </x:c>
      <x:c r="H25" s="116" t="str">
        <x:v>0000059478-26-000081</x:v>
      </x:c>
      <x:c r="I25" s="116" t="str">
        <x:v>us-gaap:OtherPaymentsToAcquireBusinesses</x:v>
      </x:c>
      <x:c r="J25" s="116" t="str">
        <x:v>c-1</x:v>
      </x:c>
      <x:c r="K25" s="116" t="n">
        <x:v>6</x:v>
      </x:c>
      <x:c r="L25" s="116" t="str">
        <x:v>-6</x:v>
      </x:c>
      <x:c r="M25" s="116" t="str">
        <x:v>https://www.sec.gov/Archives/edgar/data/59478/000005947826000081/lly-20260630.htm</x:v>
      </x:c>
      <x:c r="N25" s="116" t="str">
        <x:v>Cash flows p. 8</x:v>
      </x:c>
      <x:c r="O25" s="116" t="str">
        <x:v>Inline XBRL</x:v>
      </x:c>
      <x:c r="P25" s="116" t="str">
        <x:v>[]</x:v>
      </x:c>
      <x:c r="Q25" s="116" t="str"/>
      <x:c r="R25" s="16" t="str">
        <x:v>8e8f10cf3af98bc12a41985a98cfde9c2b9da8a812af18515d34ce3d8e1c1b3d</x:v>
      </x:c>
      <x:c r="S25" s="149"/>
      <x:c r="T25" s="150"/>
    </x:row>
    <x:row r="26" ht="85" customHeight="1">
      <x:c r="A26" s="25" t="str">
        <x:v>other_investing</x:v>
      </x:c>
      <x:c r="B26" s="115" t="n">
        <x:v>158000000</x:v>
      </x:c>
      <x:c r="C26" s="116" t="str">
        <x:v>Other investing cash used</x:v>
      </x:c>
      <x:c r="D26" s="82" t="d">
        <x:v>2026-01-01T00:00:00.000Z</x:v>
      </x:c>
      <x:c r="E26" s="82" t="d">
        <x:v>2026-06-30T00:00:00.000Z</x:v>
      </x:c>
      <x:c r="F26" s="116" t="str">
        <x:v>10-Q</x:v>
      </x:c>
      <x:c r="G26" s="82" t="d">
        <x:v>2026-08-05T00:00:00.000Z</x:v>
      </x:c>
      <x:c r="H26" s="116" t="str">
        <x:v>0000059478-26-000081</x:v>
      </x:c>
      <x:c r="I26" s="116" t="str">
        <x:v>us-gaap:PaymentsForProceedsFromOtherInvestingActivities</x:v>
      </x:c>
      <x:c r="J26" s="116" t="str">
        <x:v>c-1</x:v>
      </x:c>
      <x:c r="K26" s="116" t="n">
        <x:v>6</x:v>
      </x:c>
      <x:c r="L26" s="116" t="str">
        <x:v>-6</x:v>
      </x:c>
      <x:c r="M26" s="116" t="str">
        <x:v>https://www.sec.gov/Archives/edgar/data/59478/000005947826000081/lly-20260630.htm</x:v>
      </x:c>
      <x:c r="N26" s="116" t="str">
        <x:v>Cash flows p. 8</x:v>
      </x:c>
      <x:c r="O26" s="116" t="str">
        <x:v>Inline XBRL</x:v>
      </x:c>
      <x:c r="P26" s="116" t="str">
        <x:v>[]</x:v>
      </x:c>
      <x:c r="Q26" s="116" t="str"/>
      <x:c r="R26" s="16" t="str">
        <x:v>8e8f10cf3af98bc12a41985a98cfde9c2b9da8a812af18515d34ce3d8e1c1b3d</x:v>
      </x:c>
      <x:c r="S26" s="149"/>
      <x:c r="T26" s="150"/>
    </x:row>
    <x:row r="27" ht="85" customHeight="1">
      <x:c r="A27" s="25" t="str">
        <x:v>investing_total</x:v>
      </x:c>
      <x:c r="B27" s="115" t="n">
        <x:v>-19312000000</x:v>
      </x:c>
      <x:c r="C27" s="116" t="str">
        <x:v>Reported net investing cash flow</x:v>
      </x:c>
      <x:c r="D27" s="82" t="d">
        <x:v>2026-01-01T00:00:00.000Z</x:v>
      </x:c>
      <x:c r="E27" s="82" t="d">
        <x:v>2026-06-30T00:00:00.000Z</x:v>
      </x:c>
      <x:c r="F27" s="116" t="str">
        <x:v>10-Q</x:v>
      </x:c>
      <x:c r="G27" s="82" t="d">
        <x:v>2026-08-05T00:00:00.000Z</x:v>
      </x:c>
      <x:c r="H27" s="116" t="str">
        <x:v>0000059478-26-000081</x:v>
      </x:c>
      <x:c r="I27" s="116" t="str">
        <x:v>us-gaap:NetCashProvidedByUsedInInvestingActivities</x:v>
      </x:c>
      <x:c r="J27" s="116" t="str">
        <x:v>c-1</x:v>
      </x:c>
      <x:c r="K27" s="116" t="n">
        <x:v>6</x:v>
      </x:c>
      <x:c r="L27" s="116" t="str">
        <x:v>-6</x:v>
      </x:c>
      <x:c r="M27" s="116" t="str">
        <x:v>https://www.sec.gov/Archives/edgar/data/59478/000005947826000081/lly-20260630.htm</x:v>
      </x:c>
      <x:c r="N27" s="116" t="str">
        <x:v>Cash flows p. 8</x:v>
      </x:c>
      <x:c r="O27" s="116" t="str">
        <x:v>Inline XBRL</x:v>
      </x:c>
      <x:c r="P27" s="116" t="str">
        <x:v>[]</x:v>
      </x:c>
      <x:c r="Q27" s="116" t="str"/>
      <x:c r="R27" s="16" t="str">
        <x:v>8e8f10cf3af98bc12a41985a98cfde9c2b9da8a812af18515d34ce3d8e1c1b3d</x:v>
      </x:c>
      <x:c r="S27" s="149"/>
      <x:c r="T27" s="150"/>
    </x:row>
    <x:row r="28" ht="85" customHeight="1">
      <x:c r="A28" s="25" t="str">
        <x:v>dividends</x:v>
      </x:c>
      <x:c r="B28" s="115" t="n">
        <x:v>3094000000</x:v>
      </x:c>
      <x:c r="C28" s="116" t="str">
        <x:v>Cash dividends</x:v>
      </x:c>
      <x:c r="D28" s="82" t="d">
        <x:v>2026-01-01T00:00:00.000Z</x:v>
      </x:c>
      <x:c r="E28" s="82" t="d">
        <x:v>2026-06-30T00:00:00.000Z</x:v>
      </x:c>
      <x:c r="F28" s="116" t="str">
        <x:v>10-Q</x:v>
      </x:c>
      <x:c r="G28" s="82" t="d">
        <x:v>2026-08-05T00:00:00.000Z</x:v>
      </x:c>
      <x:c r="H28" s="116" t="str">
        <x:v>0000059478-26-000081</x:v>
      </x:c>
      <x:c r="I28" s="116" t="str">
        <x:v>us-gaap:PaymentsOfDividends</x:v>
      </x:c>
      <x:c r="J28" s="116" t="str">
        <x:v>c-1</x:v>
      </x:c>
      <x:c r="K28" s="116" t="n">
        <x:v>6</x:v>
      </x:c>
      <x:c r="L28" s="116" t="str">
        <x:v>-6</x:v>
      </x:c>
      <x:c r="M28" s="116" t="str">
        <x:v>https://www.sec.gov/Archives/edgar/data/59478/000005947826000081/lly-20260630.htm</x:v>
      </x:c>
      <x:c r="N28" s="116" t="str">
        <x:v>Cash flows p. 8</x:v>
      </x:c>
      <x:c r="O28" s="116" t="str">
        <x:v>Inline XBRL</x:v>
      </x:c>
      <x:c r="P28" s="116" t="str">
        <x:v>[]</x:v>
      </x:c>
      <x:c r="Q28" s="116" t="str"/>
      <x:c r="R28" s="16" t="str">
        <x:v>8e8f10cf3af98bc12a41985a98cfde9c2b9da8a812af18515d34ce3d8e1c1b3d</x:v>
      </x:c>
      <x:c r="S28" s="149"/>
      <x:c r="T28" s="150"/>
    </x:row>
    <x:row r="29" ht="85" customHeight="1">
      <x:c r="A29" s="25" t="str">
        <x:v>short_debt</x:v>
      </x:c>
      <x:c r="B29" s="115" t="n">
        <x:v>5284000000</x:v>
      </x:c>
      <x:c r="C29" s="116" t="str">
        <x:v>Short-term borrowings, net</x:v>
      </x:c>
      <x:c r="D29" s="82" t="d">
        <x:v>2026-01-01T00:00:00.000Z</x:v>
      </x:c>
      <x:c r="E29" s="82" t="d">
        <x:v>2026-06-30T00:00:00.000Z</x:v>
      </x:c>
      <x:c r="F29" s="116" t="str">
        <x:v>10-Q</x:v>
      </x:c>
      <x:c r="G29" s="82" t="d">
        <x:v>2026-08-05T00:00:00.000Z</x:v>
      </x:c>
      <x:c r="H29" s="116" t="str">
        <x:v>0000059478-26-000081</x:v>
      </x:c>
      <x:c r="I29" s="116" t="str">
        <x:v>us-gaap:ProceedsFromRepaymentsOfShortTermDebt</x:v>
      </x:c>
      <x:c r="J29" s="116" t="str">
        <x:v>c-1</x:v>
      </x:c>
      <x:c r="K29" s="116" t="n">
        <x:v>6</x:v>
      </x:c>
      <x:c r="L29" s="116" t="str">
        <x:v>-6</x:v>
      </x:c>
      <x:c r="M29" s="116" t="str">
        <x:v>https://www.sec.gov/Archives/edgar/data/59478/000005947826000081/lly-20260630.htm</x:v>
      </x:c>
      <x:c r="N29" s="116" t="str">
        <x:v>Cash flows p. 8</x:v>
      </x:c>
      <x:c r="O29" s="116" t="str">
        <x:v>Inline XBRL</x:v>
      </x:c>
      <x:c r="P29" s="116" t="str">
        <x:v>[]</x:v>
      </x:c>
      <x:c r="Q29" s="116" t="str"/>
      <x:c r="R29" s="16" t="str">
        <x:v>8e8f10cf3af98bc12a41985a98cfde9c2b9da8a812af18515d34ce3d8e1c1b3d</x:v>
      </x:c>
      <x:c r="S29" s="149"/>
      <x:c r="T29" s="150"/>
    </x:row>
    <x:row r="30" ht="85" customHeight="1">
      <x:c r="A30" s="25" t="str">
        <x:v>long_proceeds</x:v>
      </x:c>
      <x:c r="B30" s="115" t="n">
        <x:v>8941000000</x:v>
      </x:c>
      <x:c r="C30" s="116" t="str">
        <x:v>Long-term borrowing proceeds, net</x:v>
      </x:c>
      <x:c r="D30" s="82" t="d">
        <x:v>2026-01-01T00:00:00.000Z</x:v>
      </x:c>
      <x:c r="E30" s="82" t="d">
        <x:v>2026-06-30T00:00:00.000Z</x:v>
      </x:c>
      <x:c r="F30" s="116" t="str">
        <x:v>10-Q</x:v>
      </x:c>
      <x:c r="G30" s="82" t="d">
        <x:v>2026-08-05T00:00:00.000Z</x:v>
      </x:c>
      <x:c r="H30" s="116" t="str">
        <x:v>0000059478-26-000081</x:v>
      </x:c>
      <x:c r="I30" s="116" t="str">
        <x:v>us-gaap:ProceedsFromIssuanceOfLongTermDebt</x:v>
      </x:c>
      <x:c r="J30" s="116" t="str">
        <x:v>c-1</x:v>
      </x:c>
      <x:c r="K30" s="116" t="n">
        <x:v>6</x:v>
      </x:c>
      <x:c r="L30" s="116" t="str">
        <x:v>-6</x:v>
      </x:c>
      <x:c r="M30" s="116" t="str">
        <x:v>https://www.sec.gov/Archives/edgar/data/59478/000005947826000081/lly-20260630.htm</x:v>
      </x:c>
      <x:c r="N30" s="116" t="str">
        <x:v>Cash flows p. 8</x:v>
      </x:c>
      <x:c r="O30" s="116" t="str">
        <x:v>Inline XBRL</x:v>
      </x:c>
      <x:c r="P30" s="116" t="str">
        <x:v>[]</x:v>
      </x:c>
      <x:c r="Q30" s="116" t="str"/>
      <x:c r="R30" s="16" t="str">
        <x:v>8e8f10cf3af98bc12a41985a98cfde9c2b9da8a812af18515d34ce3d8e1c1b3d</x:v>
      </x:c>
      <x:c r="S30" s="149"/>
      <x:c r="T30" s="150"/>
    </x:row>
    <x:row r="31" ht="85" customHeight="1">
      <x:c r="A31" s="25" t="str">
        <x:v>long_repayments</x:v>
      </x:c>
      <x:c r="B31" s="115" t="n">
        <x:v>1623000000</x:v>
      </x:c>
      <x:c r="C31" s="116" t="str">
        <x:v>Long-term debt repaid</x:v>
      </x:c>
      <x:c r="D31" s="82" t="d">
        <x:v>2026-01-01T00:00:00.000Z</x:v>
      </x:c>
      <x:c r="E31" s="82" t="d">
        <x:v>2026-06-30T00:00:00.000Z</x:v>
      </x:c>
      <x:c r="F31" s="116" t="str">
        <x:v>10-Q</x:v>
      </x:c>
      <x:c r="G31" s="82" t="d">
        <x:v>2026-08-05T00:00:00.000Z</x:v>
      </x:c>
      <x:c r="H31" s="116" t="str">
        <x:v>0000059478-26-000081</x:v>
      </x:c>
      <x:c r="I31" s="116" t="str">
        <x:v>us-gaap:RepaymentsOfLongTermDebt</x:v>
      </x:c>
      <x:c r="J31" s="116" t="str">
        <x:v>c-1</x:v>
      </x:c>
      <x:c r="K31" s="116" t="n">
        <x:v>6</x:v>
      </x:c>
      <x:c r="L31" s="116" t="str">
        <x:v>-6</x:v>
      </x:c>
      <x:c r="M31" s="116" t="str">
        <x:v>https://www.sec.gov/Archives/edgar/data/59478/000005947826000081/lly-20260630.htm</x:v>
      </x:c>
      <x:c r="N31" s="116" t="str">
        <x:v>Cash flows p. 8</x:v>
      </x:c>
      <x:c r="O31" s="116" t="str">
        <x:v>Inline XBRL</x:v>
      </x:c>
      <x:c r="P31" s="116" t="str">
        <x:v>[]</x:v>
      </x:c>
      <x:c r="Q31" s="116" t="str"/>
      <x:c r="R31" s="16" t="str">
        <x:v>8e8f10cf3af98bc12a41985a98cfde9c2b9da8a812af18515d34ce3d8e1c1b3d</x:v>
      </x:c>
      <x:c r="S31" s="149"/>
      <x:c r="T31" s="150"/>
    </x:row>
    <x:row r="32" ht="85" customHeight="1">
      <x:c r="A32" s="25" t="str">
        <x:v>buybacks</x:v>
      </x:c>
      <x:c r="B32" s="115" t="n">
        <x:v>3957000000</x:v>
      </x:c>
      <x:c r="C32" s="116" t="str">
        <x:v>Share repurchases</x:v>
      </x:c>
      <x:c r="D32" s="82" t="d">
        <x:v>2026-01-01T00:00:00.000Z</x:v>
      </x:c>
      <x:c r="E32" s="82" t="d">
        <x:v>2026-06-30T00:00:00.000Z</x:v>
      </x:c>
      <x:c r="F32" s="116" t="str">
        <x:v>10-Q</x:v>
      </x:c>
      <x:c r="G32" s="82" t="d">
        <x:v>2026-08-05T00:00:00.000Z</x:v>
      </x:c>
      <x:c r="H32" s="116" t="str">
        <x:v>0000059478-26-000081</x:v>
      </x:c>
      <x:c r="I32" s="116" t="str">
        <x:v>us-gaap:PaymentsForRepurchaseOfCommonStock</x:v>
      </x:c>
      <x:c r="J32" s="116" t="str">
        <x:v>c-1</x:v>
      </x:c>
      <x:c r="K32" s="116" t="n">
        <x:v>6</x:v>
      </x:c>
      <x:c r="L32" s="116" t="str">
        <x:v>-6</x:v>
      </x:c>
      <x:c r="M32" s="116" t="str">
        <x:v>https://www.sec.gov/Archives/edgar/data/59478/000005947826000081/lly-20260630.htm</x:v>
      </x:c>
      <x:c r="N32" s="116" t="str">
        <x:v>Cash flows p. 8</x:v>
      </x:c>
      <x:c r="O32" s="116" t="str">
        <x:v>Inline XBRL</x:v>
      </x:c>
      <x:c r="P32" s="116" t="str">
        <x:v>[]</x:v>
      </x:c>
      <x:c r="Q32" s="116" t="str"/>
      <x:c r="R32" s="16" t="str">
        <x:v>8e8f10cf3af98bc12a41985a98cfde9c2b9da8a812af18515d34ce3d8e1c1b3d</x:v>
      </x:c>
      <x:c r="S32" s="149"/>
      <x:c r="T32" s="150"/>
    </x:row>
    <x:row r="33" ht="85" customHeight="1">
      <x:c r="A33" s="25" t="str">
        <x:v>other_financing</x:v>
      </x:c>
      <x:c r="B33" s="115" t="n">
        <x:v>-595000000</x:v>
      </x:c>
      <x:c r="C33" s="116" t="str">
        <x:v>Other financing cash flow</x:v>
      </x:c>
      <x:c r="D33" s="82" t="d">
        <x:v>2026-01-01T00:00:00.000Z</x:v>
      </x:c>
      <x:c r="E33" s="82" t="d">
        <x:v>2026-06-30T00:00:00.000Z</x:v>
      </x:c>
      <x:c r="F33" s="116" t="str">
        <x:v>10-Q</x:v>
      </x:c>
      <x:c r="G33" s="82" t="d">
        <x:v>2026-08-05T00:00:00.000Z</x:v>
      </x:c>
      <x:c r="H33" s="116" t="str">
        <x:v>0000059478-26-000081</x:v>
      </x:c>
      <x:c r="I33" s="116" t="str">
        <x:v>us-gaap:ProceedsFromPaymentsForOtherFinancingActivities</x:v>
      </x:c>
      <x:c r="J33" s="116" t="str">
        <x:v>c-1</x:v>
      </x:c>
      <x:c r="K33" s="116" t="n">
        <x:v>6</x:v>
      </x:c>
      <x:c r="L33" s="116" t="str">
        <x:v>-6</x:v>
      </x:c>
      <x:c r="M33" s="116" t="str">
        <x:v>https://www.sec.gov/Archives/edgar/data/59478/000005947826000081/lly-20260630.htm</x:v>
      </x:c>
      <x:c r="N33" s="116" t="str">
        <x:v>Cash flows p. 8</x:v>
      </x:c>
      <x:c r="O33" s="116" t="str">
        <x:v>Inline XBRL</x:v>
      </x:c>
      <x:c r="P33" s="116" t="str">
        <x:v>[]</x:v>
      </x:c>
      <x:c r="Q33" s="116" t="str"/>
      <x:c r="R33" s="16" t="str">
        <x:v>8e8f10cf3af98bc12a41985a98cfde9c2b9da8a812af18515d34ce3d8e1c1b3d</x:v>
      </x:c>
      <x:c r="S33" s="149"/>
      <x:c r="T33" s="150"/>
    </x:row>
    <x:row r="34" ht="85" customHeight="1">
      <x:c r="A34" s="25" t="str">
        <x:v>financing_total</x:v>
      </x:c>
      <x:c r="B34" s="115" t="n">
        <x:v>4956000000</x:v>
      </x:c>
      <x:c r="C34" s="116" t="str">
        <x:v>Reported net financing cash flow</x:v>
      </x:c>
      <x:c r="D34" s="82" t="d">
        <x:v>2026-01-01T00:00:00.000Z</x:v>
      </x:c>
      <x:c r="E34" s="82" t="d">
        <x:v>2026-06-30T00:00:00.000Z</x:v>
      </x:c>
      <x:c r="F34" s="116" t="str">
        <x:v>10-Q</x:v>
      </x:c>
      <x:c r="G34" s="82" t="d">
        <x:v>2026-08-05T00:00:00.000Z</x:v>
      </x:c>
      <x:c r="H34" s="116" t="str">
        <x:v>0000059478-26-000081</x:v>
      </x:c>
      <x:c r="I34" s="116" t="str">
        <x:v>us-gaap:NetCashProvidedByUsedInFinancingActivities</x:v>
      </x:c>
      <x:c r="J34" s="116" t="str">
        <x:v>c-1</x:v>
      </x:c>
      <x:c r="K34" s="116" t="n">
        <x:v>6</x:v>
      </x:c>
      <x:c r="L34" s="116" t="str">
        <x:v>-6</x:v>
      </x:c>
      <x:c r="M34" s="116" t="str">
        <x:v>https://www.sec.gov/Archives/edgar/data/59478/000005947826000081/lly-20260630.htm</x:v>
      </x:c>
      <x:c r="N34" s="116" t="str">
        <x:v>Cash flows p. 8</x:v>
      </x:c>
      <x:c r="O34" s="116" t="str">
        <x:v>Inline XBRL</x:v>
      </x:c>
      <x:c r="P34" s="116" t="str">
        <x:v>[]</x:v>
      </x:c>
      <x:c r="Q34" s="116" t="str"/>
      <x:c r="R34" s="16" t="str">
        <x:v>8e8f10cf3af98bc12a41985a98cfde9c2b9da8a812af18515d34ce3d8e1c1b3d</x:v>
      </x:c>
      <x:c r="S34" s="149"/>
      <x:c r="T34" s="150"/>
    </x:row>
    <x:row r="35" ht="85" customHeight="1">
      <x:c r="A35" s="25" t="str">
        <x:v>fx</x:v>
      </x:c>
      <x:c r="B35" s="115" t="n">
        <x:v>15000000</x:v>
      </x:c>
      <x:c r="C35" s="116" t="str">
        <x:v>Exchange-rate effect on cash</x:v>
      </x:c>
      <x:c r="D35" s="82" t="d">
        <x:v>2026-01-01T00:00:00.000Z</x:v>
      </x:c>
      <x:c r="E35" s="82" t="d">
        <x:v>2026-06-30T00:00:00.000Z</x:v>
      </x:c>
      <x:c r="F35" s="116" t="str">
        <x:v>10-Q</x:v>
      </x:c>
      <x:c r="G35" s="82" t="d">
        <x:v>2026-08-05T00:00:00.000Z</x:v>
      </x:c>
      <x:c r="H35" s="116" t="str">
        <x:v>0000059478-26-000081</x:v>
      </x:c>
      <x:c r="I35" s="116" t="str">
        <x:v>us-gaap:EffectOfExchangeRateOnCashCashEquivalentsRestrictedCashAndRestrictedCashEquivalents</x:v>
      </x:c>
      <x:c r="J35" s="116" t="str">
        <x:v>c-1</x:v>
      </x:c>
      <x:c r="K35" s="116" t="n">
        <x:v>6</x:v>
      </x:c>
      <x:c r="L35" s="116" t="str">
        <x:v>-6</x:v>
      </x:c>
      <x:c r="M35" s="116" t="str">
        <x:v>https://www.sec.gov/Archives/edgar/data/59478/000005947826000081/lly-20260630.htm</x:v>
      </x:c>
      <x:c r="N35" s="116" t="str">
        <x:v>Cash flows p. 8</x:v>
      </x:c>
      <x:c r="O35" s="116" t="str">
        <x:v>Inline XBRL</x:v>
      </x:c>
      <x:c r="P35" s="116" t="str">
        <x:v>[]</x:v>
      </x:c>
      <x:c r="Q35" s="116" t="str"/>
      <x:c r="R35" s="16" t="str">
        <x:v>8e8f10cf3af98bc12a41985a98cfde9c2b9da8a812af18515d34ce3d8e1c1b3d</x:v>
      </x:c>
      <x:c r="S35" s="149"/>
      <x:c r="T35" s="150"/>
    </x:row>
    <x:row r="36" ht="85" customHeight="1">
      <x:c r="A36" s="25" t="str">
        <x:v>change</x:v>
      </x:c>
      <x:c r="B36" s="115" t="n">
        <x:v>1682000000</x:v>
      </x:c>
      <x:c r="C36" s="116" t="str">
        <x:v>Reported cash increase</x:v>
      </x:c>
      <x:c r="D36" s="82" t="d">
        <x:v>2026-01-01T00:00:00.000Z</x:v>
      </x:c>
      <x:c r="E36" s="82" t="d">
        <x:v>2026-06-30T00:00:00.000Z</x:v>
      </x:c>
      <x:c r="F36" s="116" t="str">
        <x:v>10-Q</x:v>
      </x:c>
      <x:c r="G36" s="82" t="d">
        <x:v>2026-08-05T00:00:00.000Z</x:v>
      </x:c>
      <x:c r="H36" s="116" t="str">
        <x:v>0000059478-26-000081</x:v>
      </x:c>
      <x:c r="I36" s="116" t="str">
        <x:v>us-gaap:CashCashEquivalentsRestrictedCashAndRestrictedCashEquivalentsPeriodIncreaseDecreaseIncludingExchangeRateEffect</x:v>
      </x:c>
      <x:c r="J36" s="116" t="str">
        <x:v>c-1</x:v>
      </x:c>
      <x:c r="K36" s="116" t="n">
        <x:v>6</x:v>
      </x:c>
      <x:c r="L36" s="116" t="str">
        <x:v>-6</x:v>
      </x:c>
      <x:c r="M36" s="116" t="str">
        <x:v>https://www.sec.gov/Archives/edgar/data/59478/000005947826000081/lly-20260630.htm</x:v>
      </x:c>
      <x:c r="N36" s="116" t="str">
        <x:v>Cash flows p. 8</x:v>
      </x:c>
      <x:c r="O36" s="116" t="str">
        <x:v>Inline XBRL</x:v>
      </x:c>
      <x:c r="P36" s="116" t="str">
        <x:v>[]</x:v>
      </x:c>
      <x:c r="Q36" s="116" t="str"/>
      <x:c r="R36" s="16" t="str">
        <x:v>8e8f10cf3af98bc12a41985a98cfde9c2b9da8a812af18515d34ce3d8e1c1b3d</x:v>
      </x:c>
      <x:c r="S36" s="149"/>
      <x:c r="T36" s="150"/>
    </x:row>
    <x:row r="37" ht="85" customHeight="1">
      <x:c r="A37" s="25" t="str">
        <x:v>opening</x:v>
      </x:c>
      <x:c r="B37" s="115" t="n">
        <x:v>7268000000</x:v>
      </x:c>
      <x:c r="C37" s="116" t="str">
        <x:v>Opening cash and equivalents</x:v>
      </x:c>
      <x:c r="D37" s="82"/>
      <x:c r="E37" s="82" t="d">
        <x:v>2025-12-31T00:00:00.000Z</x:v>
      </x:c>
      <x:c r="F37" s="116" t="str">
        <x:v>10-Q</x:v>
      </x:c>
      <x:c r="G37" s="82" t="d">
        <x:v>2026-08-05T00:00:00.000Z</x:v>
      </x:c>
      <x:c r="H37" s="116" t="str">
        <x:v>0000059478-26-000081</x:v>
      </x:c>
      <x:c r="I37" s="116" t="str">
        <x:v>us-gaap:CashAndCashEquivalentsAtCarryingValue</x:v>
      </x:c>
      <x:c r="J37" s="116" t="str">
        <x:v>c-16</x:v>
      </x:c>
      <x:c r="K37" s="116" t="n">
        <x:v>6</x:v>
      </x:c>
      <x:c r="L37" s="116" t="str">
        <x:v>-6</x:v>
      </x:c>
      <x:c r="M37" s="116" t="str">
        <x:v>https://www.sec.gov/Archives/edgar/data/59478/000005947826000081/lly-20260630.htm</x:v>
      </x:c>
      <x:c r="N37" s="116" t="str">
        <x:v>Balance sheet p. 7; cash flows p. 8</x:v>
      </x:c>
      <x:c r="O37" s="116" t="str">
        <x:v>Inline XBRL</x:v>
      </x:c>
      <x:c r="P37" s="116" t="str">
        <x:v>[]</x:v>
      </x:c>
      <x:c r="Q37" s="116" t="str"/>
      <x:c r="R37" s="16" t="str">
        <x:v>8e8f10cf3af98bc12a41985a98cfde9c2b9da8a812af18515d34ce3d8e1c1b3d</x:v>
      </x:c>
      <x:c r="S37" s="149"/>
      <x:c r="T37" s="150"/>
    </x:row>
    <x:row r="38" ht="85" customHeight="1">
      <x:c r="A38" s="25" t="str">
        <x:v>closing</x:v>
      </x:c>
      <x:c r="B38" s="115" t="n">
        <x:v>8950000000</x:v>
      </x:c>
      <x:c r="C38" s="116" t="str">
        <x:v>Closing cash and equivalents</x:v>
      </x:c>
      <x:c r="D38" s="82"/>
      <x:c r="E38" s="82" t="d">
        <x:v>2026-06-30T00:00:00.000Z</x:v>
      </x:c>
      <x:c r="F38" s="116" t="str">
        <x:v>10-Q</x:v>
      </x:c>
      <x:c r="G38" s="82" t="d">
        <x:v>2026-08-05T00:00:00.000Z</x:v>
      </x:c>
      <x:c r="H38" s="116" t="str">
        <x:v>0000059478-26-000081</x:v>
      </x:c>
      <x:c r="I38" s="116" t="str">
        <x:v>us-gaap:CashAndCashEquivalentsAtCarryingValue</x:v>
      </x:c>
      <x:c r="J38" s="116" t="str">
        <x:v>c-15</x:v>
      </x:c>
      <x:c r="K38" s="116" t="n">
        <x:v>6</x:v>
      </x:c>
      <x:c r="L38" s="116" t="str">
        <x:v>-6</x:v>
      </x:c>
      <x:c r="M38" s="116" t="str">
        <x:v>https://www.sec.gov/Archives/edgar/data/59478/000005947826000081/lly-20260630.htm</x:v>
      </x:c>
      <x:c r="N38" s="116" t="str">
        <x:v>Balance sheet p. 7; cash flows p. 8</x:v>
      </x:c>
      <x:c r="O38" s="116" t="str">
        <x:v>Inline XBRL</x:v>
      </x:c>
      <x:c r="P38" s="116" t="str">
        <x:v>[]</x:v>
      </x:c>
      <x:c r="Q38" s="116" t="str"/>
      <x:c r="R38" s="16" t="str">
        <x:v>8e8f10cf3af98bc12a41985a98cfde9c2b9da8a812af18515d34ce3d8e1c1b3d</x:v>
      </x:c>
      <x:c r="S38" s="149"/>
      <x:c r="T38" s="150"/>
    </x:row>
    <x:row r="39" ht="85" customHeight="1">
      <x:c r="A39" s="25" t="str">
        <x:v>current_debt</x:v>
      </x:c>
      <x:c r="B39" s="115" t="n">
        <x:v>7050000000</x:v>
      </x:c>
      <x:c r="C39" s="116" t="str">
        <x:v>Current borrowing</x:v>
      </x:c>
      <x:c r="D39" s="82"/>
      <x:c r="E39" s="82" t="d">
        <x:v>2026-06-30T00:00:00.000Z</x:v>
      </x:c>
      <x:c r="F39" s="116" t="str">
        <x:v>10-Q</x:v>
      </x:c>
      <x:c r="G39" s="82" t="d">
        <x:v>2026-08-05T00:00:00.000Z</x:v>
      </x:c>
      <x:c r="H39" s="116" t="str">
        <x:v>0000059478-26-000081</x:v>
      </x:c>
      <x:c r="I39" s="116" t="str">
        <x:v>us-gaap:DebtCurrent</x:v>
      </x:c>
      <x:c r="J39" s="116" t="str">
        <x:v>c-15</x:v>
      </x:c>
      <x:c r="K39" s="116" t="n">
        <x:v>6</x:v>
      </x:c>
      <x:c r="L39" s="116" t="str">
        <x:v>-6</x:v>
      </x:c>
      <x:c r="M39" s="116" t="str">
        <x:v>https://www.sec.gov/Archives/edgar/data/59478/000005947826000081/lly-20260630.htm</x:v>
      </x:c>
      <x:c r="N39" s="116" t="str">
        <x:v>Balance sheet p. 7</x:v>
      </x:c>
      <x:c r="O39" s="116" t="str">
        <x:v>Inline XBRL</x:v>
      </x:c>
      <x:c r="P39" s="116" t="str">
        <x:v>[]</x:v>
      </x:c>
      <x:c r="Q39" s="116" t="str"/>
      <x:c r="R39" s="16" t="str">
        <x:v>8e8f10cf3af98bc12a41985a98cfde9c2b9da8a812af18515d34ce3d8e1c1b3d</x:v>
      </x:c>
      <x:c r="S39" s="149"/>
      <x:c r="T39" s="150"/>
    </x:row>
    <x:row r="40" ht="85" customHeight="1">
      <x:c r="A40" s="25" t="str">
        <x:v>noncurrent_debt</x:v>
      </x:c>
      <x:c r="B40" s="115" t="n">
        <x:v>47858000000</x:v>
      </x:c>
      <x:c r="C40" s="116" t="str">
        <x:v>Noncurrent borrowing</x:v>
      </x:c>
      <x:c r="D40" s="82"/>
      <x:c r="E40" s="82" t="d">
        <x:v>2026-06-30T00:00:00.000Z</x:v>
      </x:c>
      <x:c r="F40" s="116" t="str">
        <x:v>10-Q</x:v>
      </x:c>
      <x:c r="G40" s="82" t="d">
        <x:v>2026-08-05T00:00:00.000Z</x:v>
      </x:c>
      <x:c r="H40" s="116" t="str">
        <x:v>0000059478-26-000081</x:v>
      </x:c>
      <x:c r="I40" s="116" t="str">
        <x:v>us-gaap:LongTermDebtNoncurrent</x:v>
      </x:c>
      <x:c r="J40" s="116" t="str">
        <x:v>c-15</x:v>
      </x:c>
      <x:c r="K40" s="116" t="n">
        <x:v>6</x:v>
      </x:c>
      <x:c r="L40" s="116" t="str">
        <x:v>-6</x:v>
      </x:c>
      <x:c r="M40" s="116" t="str">
        <x:v>https://www.sec.gov/Archives/edgar/data/59478/000005947826000081/lly-20260630.htm</x:v>
      </x:c>
      <x:c r="N40" s="116" t="str">
        <x:v>Balance sheet p. 7</x:v>
      </x:c>
      <x:c r="O40" s="116" t="str">
        <x:v>Inline XBRL</x:v>
      </x:c>
      <x:c r="P40" s="116" t="str">
        <x:v>[]</x:v>
      </x:c>
      <x:c r="Q40" s="116" t="str"/>
      <x:c r="R40" s="16" t="str">
        <x:v>8e8f10cf3af98bc12a41985a98cfde9c2b9da8a812af18515d34ce3d8e1c1b3d</x:v>
      </x:c>
      <x:c r="S40" s="149"/>
      <x:c r="T40" s="150"/>
    </x:row>
    <x:row r="41" ht="85" customHeight="1">
      <x:c r="A41" s="25" t="str">
        <x:v>contingent_current</x:v>
      </x:c>
      <x:c r="B41" s="115" t="n">
        <x:v>814000000</x:v>
      </x:c>
      <x:c r="C41" s="116" t="str">
        <x:v>Contingent consideration fair value: current</x:v>
      </x:c>
      <x:c r="D41" s="82"/>
      <x:c r="E41" s="82" t="d">
        <x:v>2026-06-30T00:00:00.000Z</x:v>
      </x:c>
      <x:c r="F41" s="116" t="str">
        <x:v>10-Q</x:v>
      </x:c>
      <x:c r="G41" s="82" t="d">
        <x:v>2026-08-05T00:00:00.000Z</x:v>
      </x:c>
      <x:c r="H41" s="116" t="str">
        <x:v>0000059478-26-000081</x:v>
      </x:c>
      <x:c r="I41" s="116" t="str">
        <x:v>us-gaap:BusinessCombinationContingentConsiderationLiabilityCurrent</x:v>
      </x:c>
      <x:c r="J41" s="116" t="str">
        <x:v>c-301</x:v>
      </x:c>
      <x:c r="K41" s="116" t="n">
        <x:v>6</x:v>
      </x:c>
      <x:c r="L41" s="116" t="str">
        <x:v>-6</x:v>
      </x:c>
      <x:c r="M41" s="116" t="str">
        <x:v>https://www.sec.gov/Archives/edgar/data/59478/000005947826000081/lly-20260630.htm</x:v>
      </x:c>
      <x:c r="N41" s="116" t="str">
        <x:v>Note 8 p. 17</x:v>
      </x:c>
      <x:c r="O41" s="116" t="str">
        <x:v>Inline XBRL</x:v>
      </x:c>
      <x:c r="P41" s="116" t="str">
        <x:v>[["us-gaap:FairValueByFairValueHierarchyLevelAxis","us-gaap:FairValueInputsLevel3Member"]]</x:v>
      </x:c>
      <x:c r="Q41" s="116" t="str"/>
      <x:c r="R41" s="16" t="str">
        <x:v>8e8f10cf3af98bc12a41985a98cfde9c2b9da8a812af18515d34ce3d8e1c1b3d</x:v>
      </x:c>
      <x:c r="S41" s="149"/>
      <x:c r="T41" s="150"/>
    </x:row>
    <x:row r="42" ht="85" customHeight="1">
      <x:c r="A42" s="25" t="str">
        <x:v>contingent_noncurrent</x:v>
      </x:c>
      <x:c r="B42" s="115" t="n">
        <x:v>1704000000</x:v>
      </x:c>
      <x:c r="C42" s="116" t="str">
        <x:v>Contingent consideration fair value: noncurrent</x:v>
      </x:c>
      <x:c r="D42" s="82"/>
      <x:c r="E42" s="82" t="d">
        <x:v>2026-06-30T00:00:00.000Z</x:v>
      </x:c>
      <x:c r="F42" s="116" t="str">
        <x:v>10-Q</x:v>
      </x:c>
      <x:c r="G42" s="82" t="d">
        <x:v>2026-08-05T00:00:00.000Z</x:v>
      </x:c>
      <x:c r="H42" s="116" t="str">
        <x:v>0000059478-26-000081</x:v>
      </x:c>
      <x:c r="I42" s="116" t="str">
        <x:v>us-gaap:BusinessCombinationContingentConsiderationLiabilityNoncurrent</x:v>
      </x:c>
      <x:c r="J42" s="116" t="str">
        <x:v>c-301</x:v>
      </x:c>
      <x:c r="K42" s="116" t="n">
        <x:v>6</x:v>
      </x:c>
      <x:c r="L42" s="116" t="str">
        <x:v>-6</x:v>
      </x:c>
      <x:c r="M42" s="116" t="str">
        <x:v>https://www.sec.gov/Archives/edgar/data/59478/000005947826000081/lly-20260630.htm</x:v>
      </x:c>
      <x:c r="N42" s="116" t="str">
        <x:v>Note 8 p. 17</x:v>
      </x:c>
      <x:c r="O42" s="116" t="str">
        <x:v>Inline XBRL</x:v>
      </x:c>
      <x:c r="P42" s="116" t="str">
        <x:v>[["us-gaap:FairValueByFairValueHierarchyLevelAxis","us-gaap:FairValueInputsLevel3Member"]]</x:v>
      </x:c>
      <x:c r="Q42" s="116" t="str"/>
      <x:c r="R42" s="16" t="str">
        <x:v>8e8f10cf3af98bc12a41985a98cfde9c2b9da8a812af18515d34ce3d8e1c1b3d</x:v>
      </x:c>
      <x:c r="S42" s="149"/>
      <x:c r="T42" s="150"/>
    </x:row>
    <x:row r="43" ht="85" customHeight="1">
      <x:c r="A43" s="25" t="str">
        <x:v>notes_2026</x:v>
      </x:c>
      <x:c r="B43" s="115" t="n">
        <x:v>1632000000</x:v>
      </x:c>
      <x:c r="C43" s="116" t="str">
        <x:v>Notes due 2026</x:v>
      </x:c>
      <x:c r="D43" s="82"/>
      <x:c r="E43" s="82" t="d">
        <x:v>2025-12-31T00:00:00.000Z</x:v>
      </x:c>
      <x:c r="F43" s="116" t="str">
        <x:v>10-K</x:v>
      </x:c>
      <x:c r="G43" s="82" t="d">
        <x:v>2026-02-12T00:00:00.000Z</x:v>
      </x:c>
      <x:c r="H43" s="116" t="str">
        <x:v>0000059478-26-000013</x:v>
      </x:c>
      <x:c r="I43" s="116" t="str">
        <x:v>us-gaap:DebtInstrumentCarryingAmount</x:v>
      </x:c>
      <x:c r="J43" s="116" t="str">
        <x:v>c-297</x:v>
      </x:c>
      <x:c r="K43" s="116" t="n">
        <x:v>6</x:v>
      </x:c>
      <x:c r="L43" s="116" t="str">
        <x:v>-6</x:v>
      </x:c>
      <x:c r="M43" s="116" t="str">
        <x:v>https://www.sec.gov/Archives/edgar/data/59478/000005947826000013/lly-20251231.htm</x:v>
      </x:c>
      <x:c r="N43" s="116" t="str">
        <x:v>Note 11 p. 76</x:v>
      </x:c>
      <x:c r="O43" s="116" t="str">
        <x:v>Inline XBRL</x:v>
      </x:c>
      <x:c r="P43" s="116" t="str">
        <x:v>[["us-gaap:DebtInstrumentAxis","lly:NotesDue2026Member"]]</x:v>
      </x:c>
      <x:c r="Q43" s="116" t="str"/>
      <x:c r="R43" s="16" t="str">
        <x:v>d45f8d1e0945df0b7b30254e96ff8c5dbd1df7d15b17c8ef7399c8e0206b7d7f</x:v>
      </x:c>
      <x:c r="S43" s="149"/>
      <x:c r="T43" s="150"/>
    </x:row>
    <x:row r="44" ht="85" customHeight="1">
      <x:c r="A44" s="25" t="str">
        <x:v>notes_2027</x:v>
      </x:c>
      <x:c r="B44" s="115" t="n">
        <x:v>2516000000</x:v>
      </x:c>
      <x:c r="C44" s="116" t="str">
        <x:v>Notes due 2027</x:v>
      </x:c>
      <x:c r="D44" s="82"/>
      <x:c r="E44" s="82" t="d">
        <x:v>2025-12-31T00:00:00.000Z</x:v>
      </x:c>
      <x:c r="F44" s="116" t="str">
        <x:v>10-K</x:v>
      </x:c>
      <x:c r="G44" s="82" t="d">
        <x:v>2026-02-12T00:00:00.000Z</x:v>
      </x:c>
      <x:c r="H44" s="116" t="str">
        <x:v>0000059478-26-000013</x:v>
      </x:c>
      <x:c r="I44" s="116" t="str">
        <x:v>us-gaap:DebtInstrumentCarryingAmount</x:v>
      </x:c>
      <x:c r="J44" s="116" t="str">
        <x:v>c-301</x:v>
      </x:c>
      <x:c r="K44" s="116" t="n">
        <x:v>6</x:v>
      </x:c>
      <x:c r="L44" s="116" t="str">
        <x:v>-6</x:v>
      </x:c>
      <x:c r="M44" s="116" t="str">
        <x:v>https://www.sec.gov/Archives/edgar/data/59478/000005947826000013/lly-20251231.htm</x:v>
      </x:c>
      <x:c r="N44" s="116" t="str">
        <x:v>Note 11 p. 76</x:v>
      </x:c>
      <x:c r="O44" s="116" t="str">
        <x:v>Inline XBRL</x:v>
      </x:c>
      <x:c r="P44" s="116" t="str">
        <x:v>[["us-gaap:DebtInstrumentAxis","lly:NotesDue2027Member"]]</x:v>
      </x:c>
      <x:c r="Q44" s="116" t="str"/>
      <x:c r="R44" s="16" t="str">
        <x:v>d45f8d1e0945df0b7b30254e96ff8c5dbd1df7d15b17c8ef7399c8e0206b7d7f</x:v>
      </x:c>
      <x:c r="S44" s="149"/>
      <x:c r="T44" s="150"/>
    </x:row>
    <x:row r="45" ht="85" customHeight="1">
      <x:c r="A45" s="25" t="str">
        <x:v>notes_2028</x:v>
      </x:c>
      <x:c r="B45" s="115" t="n">
        <x:v>3256000000</x:v>
      </x:c>
      <x:c r="C45" s="116" t="str">
        <x:v>Notes due 2028</x:v>
      </x:c>
      <x:c r="D45" s="82"/>
      <x:c r="E45" s="82" t="d">
        <x:v>2025-12-31T00:00:00.000Z</x:v>
      </x:c>
      <x:c r="F45" s="116" t="str">
        <x:v>10-K</x:v>
      </x:c>
      <x:c r="G45" s="82" t="d">
        <x:v>2026-02-12T00:00:00.000Z</x:v>
      </x:c>
      <x:c r="H45" s="116" t="str">
        <x:v>0000059478-26-000013</x:v>
      </x:c>
      <x:c r="I45" s="116" t="str">
        <x:v>us-gaap:DebtInstrumentCarryingAmount</x:v>
      </x:c>
      <x:c r="J45" s="116" t="str">
        <x:v>c-305</x:v>
      </x:c>
      <x:c r="K45" s="116" t="n">
        <x:v>6</x:v>
      </x:c>
      <x:c r="L45" s="116" t="str">
        <x:v>-6</x:v>
      </x:c>
      <x:c r="M45" s="116" t="str">
        <x:v>https://www.sec.gov/Archives/edgar/data/59478/000005947826000013/lly-20251231.htm</x:v>
      </x:c>
      <x:c r="N45" s="116" t="str">
        <x:v>Note 11 p. 76</x:v>
      </x:c>
      <x:c r="O45" s="116" t="str">
        <x:v>Inline XBRL</x:v>
      </x:c>
      <x:c r="P45" s="116" t="str">
        <x:v>[["us-gaap:DebtInstrumentAxis","lly:NotesDue2028Member"]]</x:v>
      </x:c>
      <x:c r="Q45" s="116" t="str"/>
      <x:c r="R45" s="16" t="str">
        <x:v>d45f8d1e0945df0b7b30254e96ff8c5dbd1df7d15b17c8ef7399c8e0206b7d7f</x:v>
      </x:c>
      <x:c r="S45" s="149"/>
      <x:c r="T45" s="150"/>
    </x:row>
    <x:row r="46" ht="85" customHeight="1">
      <x:c r="A46" s="25" t="str">
        <x:v>notes_2029</x:v>
      </x:c>
      <x:c r="B46" s="115" t="n">
        <x:v>3077000000</x:v>
      </x:c>
      <x:c r="C46" s="116" t="str">
        <x:v>Notes due 2029</x:v>
      </x:c>
      <x:c r="D46" s="82"/>
      <x:c r="E46" s="82" t="d">
        <x:v>2025-12-31T00:00:00.000Z</x:v>
      </x:c>
      <x:c r="F46" s="116" t="str">
        <x:v>10-K</x:v>
      </x:c>
      <x:c r="G46" s="82" t="d">
        <x:v>2026-02-12T00:00:00.000Z</x:v>
      </x:c>
      <x:c r="H46" s="116" t="str">
        <x:v>0000059478-26-000013</x:v>
      </x:c>
      <x:c r="I46" s="116" t="str">
        <x:v>us-gaap:DebtInstrumentCarryingAmount</x:v>
      </x:c>
      <x:c r="J46" s="116" t="str">
        <x:v>c-309</x:v>
      </x:c>
      <x:c r="K46" s="116" t="n">
        <x:v>6</x:v>
      </x:c>
      <x:c r="L46" s="116" t="str">
        <x:v>-6</x:v>
      </x:c>
      <x:c r="M46" s="116" t="str">
        <x:v>https://www.sec.gov/Archives/edgar/data/59478/000005947826000013/lly-20251231.htm</x:v>
      </x:c>
      <x:c r="N46" s="116" t="str">
        <x:v>Note 11 p. 76</x:v>
      </x:c>
      <x:c r="O46" s="116" t="str">
        <x:v>Inline XBRL</x:v>
      </x:c>
      <x:c r="P46" s="116" t="str">
        <x:v>[["us-gaap:DebtInstrumentAxis","lly:NotesDue2029Member"]]</x:v>
      </x:c>
      <x:c r="Q46" s="116" t="str"/>
      <x:c r="R46" s="16" t="str">
        <x:v>d45f8d1e0945df0b7b30254e96ff8c5dbd1df7d15b17c8ef7399c8e0206b7d7f</x:v>
      </x:c>
      <x:c r="S46" s="149"/>
      <x:c r="T46" s="150"/>
    </x:row>
    <x:row r="47" ht="85" customHeight="1">
      <x:c r="A47" s="25" t="str">
        <x:v>notes_2030</x:v>
      </x:c>
      <x:c r="B47" s="115" t="n">
        <x:v>2132000000</x:v>
      </x:c>
      <x:c r="C47" s="116" t="str">
        <x:v>Notes due 2030</x:v>
      </x:c>
      <x:c r="D47" s="82"/>
      <x:c r="E47" s="82" t="d">
        <x:v>2025-12-31T00:00:00.000Z</x:v>
      </x:c>
      <x:c r="F47" s="116" t="str">
        <x:v>10-K</x:v>
      </x:c>
      <x:c r="G47" s="82" t="d">
        <x:v>2026-02-12T00:00:00.000Z</x:v>
      </x:c>
      <x:c r="H47" s="116" t="str">
        <x:v>0000059478-26-000013</x:v>
      </x:c>
      <x:c r="I47" s="116" t="str">
        <x:v>us-gaap:DebtInstrumentCarryingAmount</x:v>
      </x:c>
      <x:c r="J47" s="116" t="str">
        <x:v>c-313</x:v>
      </x:c>
      <x:c r="K47" s="116" t="n">
        <x:v>6</x:v>
      </x:c>
      <x:c r="L47" s="116" t="str">
        <x:v>-6</x:v>
      </x:c>
      <x:c r="M47" s="116" t="str">
        <x:v>https://www.sec.gov/Archives/edgar/data/59478/000005947826000013/lly-20251231.htm</x:v>
      </x:c>
      <x:c r="N47" s="116" t="str">
        <x:v>Note 11 p. 76</x:v>
      </x:c>
      <x:c r="O47" s="116" t="str">
        <x:v>Inline XBRL</x:v>
      </x:c>
      <x:c r="P47" s="116" t="str">
        <x:v>[["us-gaap:DebtInstrumentAxis","lly:NotesDue2030Member"]]</x:v>
      </x:c>
      <x:c r="Q47" s="116" t="str"/>
      <x:c r="R47" s="16" t="str">
        <x:v>d45f8d1e0945df0b7b30254e96ff8c5dbd1df7d15b17c8ef7399c8e0206b7d7f</x:v>
      </x:c>
      <x:c r="S47" s="149"/>
      <x:c r="T47" s="150"/>
    </x:row>
    <x:row r="48" ht="85" customHeight="1">
      <x:c r="A48" s="25" t="str">
        <x:v>notes_20312040</x:v>
      </x:c>
      <x:c r="B48" s="115" t="n">
        <x:v>11582000000</x:v>
      </x:c>
      <x:c r="C48" s="116" t="str">
        <x:v>Notes due 2031–2040</x:v>
      </x:c>
      <x:c r="D48" s="82"/>
      <x:c r="E48" s="82" t="d">
        <x:v>2025-12-31T00:00:00.000Z</x:v>
      </x:c>
      <x:c r="F48" s="116" t="str">
        <x:v>10-K</x:v>
      </x:c>
      <x:c r="G48" s="82" t="d">
        <x:v>2026-02-12T00:00:00.000Z</x:v>
      </x:c>
      <x:c r="H48" s="116" t="str">
        <x:v>0000059478-26-000013</x:v>
      </x:c>
      <x:c r="I48" s="116" t="str">
        <x:v>us-gaap:DebtInstrumentCarryingAmount</x:v>
      </x:c>
      <x:c r="J48" s="116" t="str">
        <x:v>c-317</x:v>
      </x:c>
      <x:c r="K48" s="116" t="n">
        <x:v>6</x:v>
      </x:c>
      <x:c r="L48" s="116" t="str">
        <x:v>-6</x:v>
      </x:c>
      <x:c r="M48" s="116" t="str">
        <x:v>https://www.sec.gov/Archives/edgar/data/59478/000005947826000013/lly-20251231.htm</x:v>
      </x:c>
      <x:c r="N48" s="116" t="str">
        <x:v>Note 11 p. 76</x:v>
      </x:c>
      <x:c r="O48" s="116" t="str">
        <x:v>Inline XBRL</x:v>
      </x:c>
      <x:c r="P48" s="116" t="str">
        <x:v>[["us-gaap:DebtInstrumentAxis","lly:NotesDue20312040Member"]]</x:v>
      </x:c>
      <x:c r="Q48" s="116" t="str"/>
      <x:c r="R48" s="16" t="str">
        <x:v>d45f8d1e0945df0b7b30254e96ff8c5dbd1df7d15b17c8ef7399c8e0206b7d7f</x:v>
      </x:c>
      <x:c r="S48" s="149"/>
      <x:c r="T48" s="150"/>
    </x:row>
    <x:row r="49" ht="85" customHeight="1">
      <x:c r="A49" s="25" t="str">
        <x:v>notes_20412050</x:v>
      </x:c>
      <x:c r="B49" s="115" t="n">
        <x:v>4543000000</x:v>
      </x:c>
      <x:c r="C49" s="116" t="str">
        <x:v>Notes due 2041–2050</x:v>
      </x:c>
      <x:c r="D49" s="82"/>
      <x:c r="E49" s="82" t="d">
        <x:v>2025-12-31T00:00:00.000Z</x:v>
      </x:c>
      <x:c r="F49" s="116" t="str">
        <x:v>10-K</x:v>
      </x:c>
      <x:c r="G49" s="82" t="d">
        <x:v>2026-02-12T00:00:00.000Z</x:v>
      </x:c>
      <x:c r="H49" s="116" t="str">
        <x:v>0000059478-26-000013</x:v>
      </x:c>
      <x:c r="I49" s="116" t="str">
        <x:v>us-gaap:DebtInstrumentCarryingAmount</x:v>
      </x:c>
      <x:c r="J49" s="116" t="str">
        <x:v>c-321</x:v>
      </x:c>
      <x:c r="K49" s="116" t="n">
        <x:v>6</x:v>
      </x:c>
      <x:c r="L49" s="116" t="str">
        <x:v>-6</x:v>
      </x:c>
      <x:c r="M49" s="116" t="str">
        <x:v>https://www.sec.gov/Archives/edgar/data/59478/000005947826000013/lly-20251231.htm</x:v>
      </x:c>
      <x:c r="N49" s="116" t="str">
        <x:v>Note 11 p. 76</x:v>
      </x:c>
      <x:c r="O49" s="116" t="str">
        <x:v>Inline XBRL</x:v>
      </x:c>
      <x:c r="P49" s="116" t="str">
        <x:v>[["us-gaap:DebtInstrumentAxis","lly:NotesDue20412050Member"]]</x:v>
      </x:c>
      <x:c r="Q49" s="116" t="str"/>
      <x:c r="R49" s="16" t="str">
        <x:v>d45f8d1e0945df0b7b30254e96ff8c5dbd1df7d15b17c8ef7399c8e0206b7d7f</x:v>
      </x:c>
      <x:c r="S49" s="149"/>
      <x:c r="T49" s="150"/>
    </x:row>
    <x:row r="50" ht="85" customHeight="1">
      <x:c r="A50" s="25" t="str">
        <x:v>notes_20512060</x:v>
      </x:c>
      <x:c r="B50" s="115" t="n">
        <x:v>8280000000</x:v>
      </x:c>
      <x:c r="C50" s="116" t="str">
        <x:v>Notes due 2051–2060</x:v>
      </x:c>
      <x:c r="D50" s="82"/>
      <x:c r="E50" s="82" t="d">
        <x:v>2025-12-31T00:00:00.000Z</x:v>
      </x:c>
      <x:c r="F50" s="116" t="str">
        <x:v>10-K</x:v>
      </x:c>
      <x:c r="G50" s="82" t="d">
        <x:v>2026-02-12T00:00:00.000Z</x:v>
      </x:c>
      <x:c r="H50" s="116" t="str">
        <x:v>0000059478-26-000013</x:v>
      </x:c>
      <x:c r="I50" s="116" t="str">
        <x:v>us-gaap:DebtInstrumentCarryingAmount</x:v>
      </x:c>
      <x:c r="J50" s="116" t="str">
        <x:v>c-325</x:v>
      </x:c>
      <x:c r="K50" s="116" t="n">
        <x:v>6</x:v>
      </x:c>
      <x:c r="L50" s="116" t="str">
        <x:v>-6</x:v>
      </x:c>
      <x:c r="M50" s="116" t="str">
        <x:v>https://www.sec.gov/Archives/edgar/data/59478/000005947826000013/lly-20251231.htm</x:v>
      </x:c>
      <x:c r="N50" s="116" t="str">
        <x:v>Note 11 p. 76</x:v>
      </x:c>
      <x:c r="O50" s="116" t="str">
        <x:v>Inline XBRL</x:v>
      </x:c>
      <x:c r="P50" s="116" t="str">
        <x:v>[["us-gaap:DebtInstrumentAxis","lly:NotesDue20512060Member"]]</x:v>
      </x:c>
      <x:c r="Q50" s="116" t="str"/>
      <x:c r="R50" s="16" t="str">
        <x:v>d45f8d1e0945df0b7b30254e96ff8c5dbd1df7d15b17c8ef7399c8e0206b7d7f</x:v>
      </x:c>
      <x:c r="S50" s="149"/>
      <x:c r="T50" s="150"/>
    </x:row>
    <x:row r="51" ht="85" customHeight="1">
      <x:c r="A51" s="25" t="str">
        <x:v>notes_20612070</x:v>
      </x:c>
      <x:c r="B51" s="115" t="n">
        <x:v>5824000000</x:v>
      </x:c>
      <x:c r="C51" s="116" t="str">
        <x:v>Notes due 2061–2070</x:v>
      </x:c>
      <x:c r="D51" s="82"/>
      <x:c r="E51" s="82" t="d">
        <x:v>2025-12-31T00:00:00.000Z</x:v>
      </x:c>
      <x:c r="F51" s="116" t="str">
        <x:v>10-K</x:v>
      </x:c>
      <x:c r="G51" s="82" t="d">
        <x:v>2026-02-12T00:00:00.000Z</x:v>
      </x:c>
      <x:c r="H51" s="116" t="str">
        <x:v>0000059478-26-000013</x:v>
      </x:c>
      <x:c r="I51" s="116" t="str">
        <x:v>us-gaap:DebtInstrumentCarryingAmount</x:v>
      </x:c>
      <x:c r="J51" s="116" t="str">
        <x:v>c-329</x:v>
      </x:c>
      <x:c r="K51" s="116" t="n">
        <x:v>6</x:v>
      </x:c>
      <x:c r="L51" s="116" t="str">
        <x:v>-6</x:v>
      </x:c>
      <x:c r="M51" s="116" t="str">
        <x:v>https://www.sec.gov/Archives/edgar/data/59478/000005947826000013/lly-20251231.htm</x:v>
      </x:c>
      <x:c r="N51" s="116" t="str">
        <x:v>Note 11 p. 76</x:v>
      </x:c>
      <x:c r="O51" s="116" t="str">
        <x:v>Inline XBRL</x:v>
      </x:c>
      <x:c r="P51" s="116" t="str">
        <x:v>[["us-gaap:DebtInstrumentAxis","lly:NotesDue20612070Member"]]</x:v>
      </x:c>
      <x:c r="Q51" s="116" t="str"/>
      <x:c r="R51" s="16" t="str">
        <x:v>d45f8d1e0945df0b7b30254e96ff8c5dbd1df7d15b17c8ef7399c8e0206b7d7f</x:v>
      </x:c>
      <x:c r="S51" s="149"/>
      <x:c r="T51" s="150"/>
    </x:row>
    <x:row r="52" ht="85" customHeight="1">
      <x:c r="A52" s="25" t="str">
        <x:v>adjustment</x:v>
      </x:c>
      <x:c r="B52" s="115" t="n">
        <x:v>339000000</x:v>
      </x:c>
      <x:c r="C52" s="116" t="str">
        <x:v>Other long-term debt and adjustments (source magnitude)</x:v>
      </x:c>
      <x:c r="D52" s="82"/>
      <x:c r="E52" s="82" t="d">
        <x:v>2025-12-31T00:00:00.000Z</x:v>
      </x:c>
      <x:c r="F52" s="116" t="str">
        <x:v>10-K</x:v>
      </x:c>
      <x:c r="G52" s="82" t="d">
        <x:v>2026-02-12T00:00:00.000Z</x:v>
      </x:c>
      <x:c r="H52" s="116" t="str">
        <x:v>0000059478-26-000013</x:v>
      </x:c>
      <x:c r="I52" s="116" t="str">
        <x:v>us-gaap:OtherLongTermDebt</x:v>
      </x:c>
      <x:c r="J52" s="116" t="str">
        <x:v>c-16</x:v>
      </x:c>
      <x:c r="K52" s="116" t="n">
        <x:v>6</x:v>
      </x:c>
      <x:c r="L52" s="116" t="str">
        <x:v>-6</x:v>
      </x:c>
      <x:c r="M52" s="116" t="str">
        <x:v>https://www.sec.gov/Archives/edgar/data/59478/000005947826000013/lly-20251231.htm</x:v>
      </x:c>
      <x:c r="N52" s="116" t="str">
        <x:v>Note 11 p. 76</x:v>
      </x:c>
      <x:c r="O52" s="116" t="str">
        <x:v>Inline XBRL</x:v>
      </x:c>
      <x:c r="P52" s="116" t="str">
        <x:v>[]</x:v>
      </x:c>
      <x:c r="Q52" s="116" t="str"/>
      <x:c r="R52" s="16" t="str">
        <x:v>d45f8d1e0945df0b7b30254e96ff8c5dbd1df7d15b17c8ef7399c8e0206b7d7f</x:v>
      </x:c>
      <x:c r="S52" s="149"/>
      <x:c r="T52" s="150"/>
    </x:row>
    <x:row r="53" ht="85" customHeight="1">
      <x:c r="A53" s="25" t="str">
        <x:v>annual_cp</x:v>
      </x:c>
      <x:c r="B53" s="115" t="n">
        <x:v>0</x:v>
      </x:c>
      <x:c r="C53" s="116" t="str">
        <x:v>Commercial paper</x:v>
      </x:c>
      <x:c r="D53" s="82"/>
      <x:c r="E53" s="82" t="d">
        <x:v>2025-12-31T00:00:00.000Z</x:v>
      </x:c>
      <x:c r="F53" s="116" t="str">
        <x:v>10-K</x:v>
      </x:c>
      <x:c r="G53" s="82" t="d">
        <x:v>2026-02-12T00:00:00.000Z</x:v>
      </x:c>
      <x:c r="H53" s="116" t="str">
        <x:v>0000059478-26-000013</x:v>
      </x:c>
      <x:c r="I53" s="116" t="str">
        <x:v>us-gaap:CommercialPaper</x:v>
      </x:c>
      <x:c r="J53" s="116" t="str">
        <x:v>c-16</x:v>
      </x:c>
      <x:c r="K53" s="116" t="n">
        <x:v>6</x:v>
      </x:c>
      <x:c r="L53" s="116" t="str">
        <x:v>-6</x:v>
      </x:c>
      <x:c r="M53" s="116" t="str">
        <x:v>https://www.sec.gov/Archives/edgar/data/59478/000005947826000013/lly-20251231.htm</x:v>
      </x:c>
      <x:c r="N53" s="116" t="str">
        <x:v>Note 11 p. 76</x:v>
      </x:c>
      <x:c r="O53" s="116" t="str">
        <x:v>Inline XBRL</x:v>
      </x:c>
      <x:c r="P53" s="116" t="str">
        <x:v>[]</x:v>
      </x:c>
      <x:c r="Q53" s="116" t="str"/>
      <x:c r="R53" s="16" t="str">
        <x:v>d45f8d1e0945df0b7b30254e96ff8c5dbd1df7d15b17c8ef7399c8e0206b7d7f</x:v>
      </x:c>
      <x:c r="S53" s="149"/>
      <x:c r="T53" s="150"/>
    </x:row>
    <x:row r="54" ht="85" customHeight="1">
      <x:c r="A54" s="25" t="str">
        <x:v>annual_total</x:v>
      </x:c>
      <x:c r="B54" s="115" t="n">
        <x:v>42503000000</x:v>
      </x:c>
      <x:c r="C54" s="116" t="str">
        <x:v>Reported total debt</x:v>
      </x:c>
      <x:c r="D54" s="82"/>
      <x:c r="E54" s="82" t="d">
        <x:v>2025-12-31T00:00:00.000Z</x:v>
      </x:c>
      <x:c r="F54" s="116" t="str">
        <x:v>10-K</x:v>
      </x:c>
      <x:c r="G54" s="82" t="d">
        <x:v>2026-02-12T00:00:00.000Z</x:v>
      </x:c>
      <x:c r="H54" s="116" t="str">
        <x:v>0000059478-26-000013</x:v>
      </x:c>
      <x:c r="I54" s="116" t="str">
        <x:v>us-gaap:DebtLongtermAndShorttermCombinedAmount</x:v>
      </x:c>
      <x:c r="J54" s="116" t="str">
        <x:v>c-16</x:v>
      </x:c>
      <x:c r="K54" s="116" t="n">
        <x:v>6</x:v>
      </x:c>
      <x:c r="L54" s="116" t="str">
        <x:v>-6</x:v>
      </x:c>
      <x:c r="M54" s="116" t="str">
        <x:v>https://www.sec.gov/Archives/edgar/data/59478/000005947826000013/lly-20251231.htm</x:v>
      </x:c>
      <x:c r="N54" s="116" t="str">
        <x:v>Note 11 p. 76</x:v>
      </x:c>
      <x:c r="O54" s="116" t="str">
        <x:v>Inline XBRL</x:v>
      </x:c>
      <x:c r="P54" s="116" t="str">
        <x:v>[]</x:v>
      </x:c>
      <x:c r="Q54" s="116" t="str"/>
      <x:c r="R54" s="16" t="str">
        <x:v>d45f8d1e0945df0b7b30254e96ff8c5dbd1df7d15b17c8ef7399c8e0206b7d7f</x:v>
      </x:c>
      <x:c r="S54" s="149"/>
      <x:c r="T54" s="150"/>
    </x:row>
    <x:row r="55" ht="85" customHeight="1">
      <x:c r="A55" s="25" t="str">
        <x:v>annual_unused</x:v>
      </x:c>
      <x:c r="B55" s="115" t="n">
        <x:v>10100000000</x:v>
      </x:c>
      <x:c r="C55" s="116" t="str">
        <x:v>Unused facilities at December 31</x:v>
      </x:c>
      <x:c r="D55" s="82"/>
      <x:c r="E55" s="82" t="d">
        <x:v>2025-12-31T00:00:00.000Z</x:v>
      </x:c>
      <x:c r="F55" s="116" t="str">
        <x:v>10-K</x:v>
      </x:c>
      <x:c r="G55" s="82" t="d">
        <x:v>2026-02-12T00:00:00.000Z</x:v>
      </x:c>
      <x:c r="H55" s="116" t="str">
        <x:v>0000059478-26-000013</x:v>
      </x:c>
      <x:c r="I55" s="116" t="str">
        <x:v>us-gaap:LineOfCreditFacilityRemainingBorrowingCapacity</x:v>
      </x:c>
      <x:c r="J55" s="116" t="str">
        <x:v>c-16</x:v>
      </x:c>
      <x:c r="K55" s="116" t="n">
        <x:v>9</x:v>
      </x:c>
      <x:c r="L55" s="116" t="str">
        <x:v>-8</x:v>
      </x:c>
      <x:c r="M55" s="116" t="str">
        <x:v>https://www.sec.gov/Archives/edgar/data/59478/000005947826000013/lly-20251231.htm</x:v>
      </x:c>
      <x:c r="N55" s="116" t="str">
        <x:v>Note 11 p. 76</x:v>
      </x:c>
      <x:c r="O55" s="116" t="str">
        <x:v>Inline XBRL</x:v>
      </x:c>
      <x:c r="P55" s="116" t="str">
        <x:v>[]</x:v>
      </x:c>
      <x:c r="Q55" s="116" t="str"/>
      <x:c r="R55" s="16" t="str">
        <x:v>d45f8d1e0945df0b7b30254e96ff8c5dbd1df7d15b17c8ef7399c8e0206b7d7f</x:v>
      </x:c>
      <x:c r="S55" s="149"/>
      <x:c r="T55" s="150"/>
    </x:row>
    <x:row r="56" ht="85" customHeight="1">
      <x:c r="A56" s="25" t="str">
        <x:v>facility_2026</x:v>
      </x:c>
      <x:c r="B56" s="115" t="n">
        <x:v>6000000000</x:v>
      </x:c>
      <x:c r="C56" s="116" t="str">
        <x:v>364-day facility expires August 2026</x:v>
      </x:c>
      <x:c r="D56" s="82"/>
      <x:c r="E56" s="82" t="d">
        <x:v>2025-12-31T00:00:00.000Z</x:v>
      </x:c>
      <x:c r="F56" s="116" t="str">
        <x:v>10-K</x:v>
      </x:c>
      <x:c r="G56" s="82" t="d">
        <x:v>2026-02-12T00:00:00.000Z</x:v>
      </x:c>
      <x:c r="H56" s="116" t="str">
        <x:v>0000059478-26-000013</x:v>
      </x:c>
      <x:c r="I56" s="116" t="str">
        <x:v>us-gaap:LineOfCreditFacilityMaximumBorrowingCapacity</x:v>
      </x:c>
      <x:c r="J56" s="116" t="str">
        <x:v>c-334</x:v>
      </x:c>
      <x:c r="K56" s="116" t="n">
        <x:v>9</x:v>
      </x:c>
      <x:c r="L56" s="116" t="str">
        <x:v>INF</x:v>
      </x:c>
      <x:c r="M56" s="116" t="str">
        <x:v>https://www.sec.gov/Archives/edgar/data/59478/000005947826000013/lly-20251231.htm</x:v>
      </x:c>
      <x:c r="N56" s="116" t="str">
        <x:v>Note 11 p. 76; MD&amp;A p. 51</x:v>
      </x:c>
      <x:c r="O56" s="116" t="str">
        <x:v>Inline XBRL</x:v>
      </x:c>
      <x:c r="P56" s="116" t="str">
        <x:v>[["us-gaap:DebtInstrumentRedemptionPeriodAxis","lly:MaturityDate2026Member"]]</x:v>
      </x:c>
      <x:c r="Q56" s="116" t="str"/>
      <x:c r="R56" s="16" t="str">
        <x:v>d45f8d1e0945df0b7b30254e96ff8c5dbd1df7d15b17c8ef7399c8e0206b7d7f</x:v>
      </x:c>
      <x:c r="S56" s="149"/>
      <x:c r="T56" s="150"/>
    </x:row>
    <x:row r="57" ht="85" customHeight="1">
      <x:c r="A57" s="25" t="str">
        <x:v>facility_2029</x:v>
      </x:c>
      <x:c r="B57" s="115" t="n">
        <x:v>4000000000</x:v>
      </x:c>
      <x:c r="C57" s="116" t="str">
        <x:v>Facility expires December 2029</x:v>
      </x:c>
      <x:c r="D57" s="82"/>
      <x:c r="E57" s="82" t="d">
        <x:v>2025-12-31T00:00:00.000Z</x:v>
      </x:c>
      <x:c r="F57" s="116" t="str">
        <x:v>10-K</x:v>
      </x:c>
      <x:c r="G57" s="82" t="d">
        <x:v>2026-02-12T00:00:00.000Z</x:v>
      </x:c>
      <x:c r="H57" s="116" t="str">
        <x:v>0000059478-26-000013</x:v>
      </x:c>
      <x:c r="I57" s="116" t="str">
        <x:v>us-gaap:LineOfCreditFacilityMaximumBorrowingCapacity</x:v>
      </x:c>
      <x:c r="J57" s="116" t="str">
        <x:v>c-333</x:v>
      </x:c>
      <x:c r="K57" s="116" t="n">
        <x:v>9</x:v>
      </x:c>
      <x:c r="L57" s="116" t="str">
        <x:v>INF</x:v>
      </x:c>
      <x:c r="M57" s="116" t="str">
        <x:v>https://www.sec.gov/Archives/edgar/data/59478/000005947826000013/lly-20251231.htm</x:v>
      </x:c>
      <x:c r="N57" s="116" t="str">
        <x:v>Note 11 p. 76; MD&amp;A p. 51</x:v>
      </x:c>
      <x:c r="O57" s="116" t="str">
        <x:v>Inline XBRL</x:v>
      </x:c>
      <x:c r="P57" s="116" t="str">
        <x:v>[["us-gaap:DebtInstrumentRedemptionPeriodAxis","lly:MaturityDateDecember2029Member"]]</x:v>
      </x:c>
      <x:c r="Q57" s="116" t="str"/>
      <x:c r="R57" s="16" t="str">
        <x:v>d45f8d1e0945df0b7b30254e96ff8c5dbd1df7d15b17c8ef7399c8e0206b7d7f</x:v>
      </x:c>
      <x:c r="S57" s="149"/>
      <x:c r="T57" s="150"/>
    </x:row>
    <x:row r="58" ht="85" customHeight="1">
      <x:c r="A58" s="25" t="str">
        <x:v>unused_june</x:v>
      </x:c>
      <x:c r="B58" s="115" t="n">
        <x:v>10100000000</x:v>
      </x:c>
      <x:c r="C58" s="116" t="str">
        <x:v>Unused committed facilities</x:v>
      </x:c>
      <x:c r="D58" s="82"/>
      <x:c r="E58" s="82" t="d">
        <x:v>2026-06-30T00:00:00.000Z</x:v>
      </x:c>
      <x:c r="F58" s="116" t="str">
        <x:v>10-Q</x:v>
      </x:c>
      <x:c r="G58" s="82" t="d">
        <x:v>2026-08-05T00:00:00.000Z</x:v>
      </x:c>
      <x:c r="H58" s="116" t="str">
        <x:v>0000059478-26-000081</x:v>
      </x:c>
      <x:c r="I58" s="116"/>
      <x:c r="J58" s="116"/>
      <x:c r="K58" s="116"/>
      <x:c r="L58" s="116"/>
      <x:c r="M58" s="116" t="str">
        <x:v>https://www.sec.gov/Archives/edgar/data/59478/000005947826000081/lly-20260630.htm</x:v>
      </x:c>
      <x:c r="N58" s="116" t="str">
        <x:v>MD&amp;A p. 31</x:v>
      </x:c>
      <x:c r="O58" s="116" t="str">
        <x:v>Reviewed filing text</x:v>
      </x:c>
      <x:c r="P58" s="116" t="str">
        <x:v>[]</x:v>
      </x:c>
      <x:c r="Q58" s="116"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49"/>
      <x:c r="T58" s="150"/>
    </x:row>
    <x:row r="59" ht="85" customHeight="1">
      <x:c r="A59" s="25" t="str">
        <x:v>cp_support</x:v>
      </x:c>
      <x:c r="B59" s="115" t="n">
        <x:v>10000000000</x:v>
      </x:c>
      <x:c r="C59" s="116" t="str">
        <x:v>Facilities supporting commercial paper</x:v>
      </x:c>
      <x:c r="D59" s="82"/>
      <x:c r="E59" s="82" t="d">
        <x:v>2026-06-30T00:00:00.000Z</x:v>
      </x:c>
      <x:c r="F59" s="116" t="str">
        <x:v>10-Q</x:v>
      </x:c>
      <x:c r="G59" s="82" t="d">
        <x:v>2026-08-05T00:00:00.000Z</x:v>
      </x:c>
      <x:c r="H59" s="116" t="str">
        <x:v>0000059478-26-000081</x:v>
      </x:c>
      <x:c r="I59" s="116"/>
      <x:c r="J59" s="116"/>
      <x:c r="K59" s="116"/>
      <x:c r="L59" s="116"/>
      <x:c r="M59" s="116" t="str">
        <x:v>https://www.sec.gov/Archives/edgar/data/59478/000005947826000081/lly-20260630.htm</x:v>
      </x:c>
      <x:c r="N59" s="116" t="str">
        <x:v>MD&amp;A p. 31</x:v>
      </x:c>
      <x:c r="O59" s="116" t="str">
        <x:v>Reviewed filing text</x:v>
      </x:c>
      <x:c r="P59" s="116" t="str">
        <x:v>[]</x:v>
      </x:c>
      <x:c r="Q59" s="116" t="str">
        <x:v>Included in the $10.1B; not another source of funds.</x:v>
      </x:c>
      <x:c r="R59" s="16" t="str">
        <x:v>8e8f10cf3af98bc12a41985a98cfde9c2b9da8a812af18515d34ce3d8e1c1b3d</x:v>
      </x:c>
      <x:c r="S59" s="149"/>
      <x:c r="T59" s="150"/>
    </x:row>
    <x:row r="60" ht="85" customHeight="1">
      <x:c r="A60" s="25" t="str">
        <x:v>atai</x:v>
      </x:c>
      <x:c r="B60" s="115" t="n">
        <x:v>2800000000</x:v>
      </x:c>
      <x:c r="C60" s="116" t="str">
        <x:v>Pending AtaiBeckley acquisition</x:v>
      </x:c>
      <x:c r="D60" s="82"/>
      <x:c r="E60" s="82" t="str">
        <x:v>Disclosed August 5, 2026</x:v>
      </x:c>
      <x:c r="F60" s="116" t="str">
        <x:v>10-Q</x:v>
      </x:c>
      <x:c r="G60" s="82" t="d">
        <x:v>2026-08-05T00:00:00.000Z</x:v>
      </x:c>
      <x:c r="H60" s="116" t="str">
        <x:v>0000059478-26-000081</x:v>
      </x:c>
      <x:c r="I60" s="116"/>
      <x:c r="J60" s="116"/>
      <x:c r="K60" s="116"/>
      <x:c r="L60" s="116"/>
      <x:c r="M60" s="116" t="str">
        <x:v>https://www.sec.gov/Archives/edgar/data/59478/000005947826000081/lly-20260630.htm</x:v>
      </x:c>
      <x:c r="N60" s="116" t="str">
        <x:v>MD&amp;A p. 31</x:v>
      </x:c>
      <x:c r="O60" s="116" t="str">
        <x:v>Reviewed filing text</x:v>
      </x:c>
      <x:c r="P60" s="116" t="str">
        <x:v>[]</x:v>
      </x:c>
      <x:c r="Q60" s="116" t="str">
        <x:v>Payable at closing, subject to conditions. Disclosed after quarter end; closing date, completion and funding allocation are not established here.</x:v>
      </x:c>
      <x:c r="R60" s="16" t="str">
        <x:v>8e8f10cf3af98bc12a41985a98cfde9c2b9da8a812af18515d34ce3d8e1c1b3d</x:v>
      </x:c>
      <x:c r="S60" s="149"/>
      <x:c r="T60" s="150"/>
    </x:row>
    <x:row r="61" ht="85" customHeight="1">
      <x:c r="A61" s="25" t="str">
        <x:v>unpaid_kelonia</x:v>
      </x:c>
      <x:c r="B61" s="115" t="n">
        <x:v>208000000</x:v>
      </x:c>
      <x:c r="C61" s="116" t="str">
        <x:v>Unpaid Kelonia cash consideration</x:v>
      </x:c>
      <x:c r="D61" s="82"/>
      <x:c r="E61" s="82" t="d">
        <x:v>2026-06-30T00:00:00.000Z</x:v>
      </x:c>
      <x:c r="F61" s="116" t="str">
        <x:v>10-Q</x:v>
      </x:c>
      <x:c r="G61" s="82" t="d">
        <x:v>2026-08-05T00:00:00.000Z</x:v>
      </x:c>
      <x:c r="H61" s="116" t="str">
        <x:v>0000059478-26-000081</x:v>
      </x:c>
      <x:c r="I61" s="116"/>
      <x:c r="J61" s="116"/>
      <x:c r="K61" s="116"/>
      <x:c r="L61" s="116"/>
      <x:c r="M61" s="116" t="str">
        <x:v>https://www.sec.gov/Archives/edgar/data/59478/000005947826000081/lly-20260630.htm</x:v>
      </x:c>
      <x:c r="N61" s="116" t="str">
        <x:v>Note 4 p. 13</x:v>
      </x:c>
      <x:c r="O61" s="116" t="str">
        <x:v>Reviewed filing text</x:v>
      </x:c>
      <x:c r="P61" s="116" t="str">
        <x:v>[]</x:v>
      </x:c>
      <x:c r="Q61" s="116" t="str">
        <x:v>Payment date Unavailable. Separate from cash already paid and from contingent-consideration fair value.</x:v>
      </x:c>
      <x:c r="R61" s="16" t="str">
        <x:v>8e8f10cf3af98bc12a41985a98cfde9c2b9da8a812af18515d34ce3d8e1c1b3d</x:v>
      </x:c>
      <x:c r="S61" s="149"/>
      <x:c r="T61" s="150"/>
    </x:row>
    <x:row r="62" ht="85" customHeight="1">
      <x:c r="A62" s="25" t="str">
        <x:v>unpaid_centessa</x:v>
      </x:c>
      <x:c r="B62" s="115" t="n">
        <x:v>88000000</x:v>
      </x:c>
      <x:c r="C62" s="116" t="str">
        <x:v>Unpaid Centessa cash consideration</x:v>
      </x:c>
      <x:c r="D62" s="82"/>
      <x:c r="E62" s="82" t="d">
        <x:v>2026-06-30T00:00:00.000Z</x:v>
      </x:c>
      <x:c r="F62" s="116" t="str">
        <x:v>10-Q</x:v>
      </x:c>
      <x:c r="G62" s="82" t="d">
        <x:v>2026-08-05T00:00:00.000Z</x:v>
      </x:c>
      <x:c r="H62" s="116" t="str">
        <x:v>0000059478-26-000081</x:v>
      </x:c>
      <x:c r="I62" s="116"/>
      <x:c r="J62" s="116"/>
      <x:c r="K62" s="116"/>
      <x:c r="L62" s="116"/>
      <x:c r="M62" s="116" t="str">
        <x:v>https://www.sec.gov/Archives/edgar/data/59478/000005947826000081/lly-20260630.htm</x:v>
      </x:c>
      <x:c r="N62" s="116" t="str">
        <x:v>Note 4 p. 13</x:v>
      </x:c>
      <x:c r="O62" s="116" t="str">
        <x:v>Reviewed filing text</x:v>
      </x:c>
      <x:c r="P62" s="116" t="str">
        <x:v>[]</x:v>
      </x:c>
      <x:c r="Q62" s="116" t="str">
        <x:v>Payment date Unavailable. Do not add to paid acquisition cash or contingent-consideration fair value.</x:v>
      </x:c>
      <x:c r="R62" s="16" t="str">
        <x:v>8e8f10cf3af98bc12a41985a98cfde9c2b9da8a812af18515d34ce3d8e1c1b3d</x:v>
      </x:c>
      <x:c r="S62" s="149"/>
      <x:c r="T62" s="150"/>
    </x:row>
    <x:row r="63" ht="85" customHeight="1">
      <x:c r="A63" s="25" t="str">
        <x:v>july_paid</x:v>
      </x:c>
      <x:c r="B63" s="115" t="n">
        <x:v>2000000000</x:v>
      </x:c>
      <x:c r="C63" s="116" t="str">
        <x:v>July infectious-disease acquisitions: cash paid</x:v>
      </x:c>
      <x:c r="D63" s="82"/>
      <x:c r="E63" s="82" t="str">
        <x:v>July 2026</x:v>
      </x:c>
      <x:c r="F63" s="116" t="str">
        <x:v>10-Q</x:v>
      </x:c>
      <x:c r="G63" s="82" t="d">
        <x:v>2026-08-05T00:00:00.000Z</x:v>
      </x:c>
      <x:c r="H63" s="116" t="str">
        <x:v>0000059478-26-000081</x:v>
      </x:c>
      <x:c r="I63" s="116"/>
      <x:c r="J63" s="116"/>
      <x:c r="K63" s="116"/>
      <x:c r="L63" s="116"/>
      <x:c r="M63" s="116" t="str">
        <x:v>https://www.sec.gov/Archives/edgar/data/59478/000005947826000081/lly-20260630.htm</x:v>
      </x:c>
      <x:c r="N63" s="116" t="str">
        <x:v>MD&amp;A p. 31; Note 4 pp. 13–14</x:v>
      </x:c>
      <x:c r="O63" s="116" t="str">
        <x:v>Reviewed filing text</x:v>
      </x:c>
      <x:c r="P63" s="116" t="str">
        <x:v>[]</x:v>
      </x:c>
      <x:c r="Q63" s="116" t="str">
        <x:v>Already paid after June. Other July cash flows are unknown; June cash less this payment is not a current cash balance.</x:v>
      </x:c>
      <x:c r="R63" s="16" t="str">
        <x:v>8e8f10cf3af98bc12a41985a98cfde9c2b9da8a812af18515d34ce3d8e1c1b3d</x:v>
      </x:c>
      <x:c r="S63" s="149"/>
      <x:c r="T63" s="150"/>
    </x:row>
    <x:row r="64" ht="85" customHeight="1">
      <x:c r="A64" s="25" t="str">
        <x:v>july_ceiling</x:v>
      </x:c>
      <x:c r="B64" s="115" t="n">
        <x:v>3900000000</x:v>
      </x:c>
      <x:c r="C64" s="116" t="str">
        <x:v>July acquisitions: aggregate consideration up to</x:v>
      </x:c>
      <x:c r="D64" s="82"/>
      <x:c r="E64" s="82" t="str">
        <x:v>July 2026</x:v>
      </x:c>
      <x:c r="F64" s="116" t="str">
        <x:v>10-Q</x:v>
      </x:c>
      <x:c r="G64" s="82" t="d">
        <x:v>2026-08-05T00:00:00.000Z</x:v>
      </x:c>
      <x:c r="H64" s="116" t="str">
        <x:v>0000059478-26-000081</x:v>
      </x:c>
      <x:c r="I64" s="116"/>
      <x:c r="J64" s="116"/>
      <x:c r="K64" s="116"/>
      <x:c r="L64" s="116"/>
      <x:c r="M64" s="116" t="str">
        <x:v>https://www.sec.gov/Archives/edgar/data/59478/000005947826000081/lly-20260630.htm</x:v>
      </x:c>
      <x:c r="N64" s="116" t="str">
        <x:v>Note 4 pp. 13–14</x:v>
      </x:c>
      <x:c r="O64" s="116" t="str">
        <x:v>Reviewed filing text</x:v>
      </x:c>
      <x:c r="P64" s="116" t="str">
        <x:v>[]</x:v>
      </x:c>
      <x:c r="Q64" s="116"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49"/>
      <x:c r="T64" s="150"/>
    </x:row>
    <x:row r="65" ht="85" customHeight="1">
      <x:c r="A65" s="25" t="str">
        <x:v>vc</x:v>
      </x:c>
      <x:c r="B65" s="115" t="n">
        <x:v>806000000</x:v>
      </x:c>
      <x:c r="C65" s="116" t="str">
        <x:v>Unfunded venture fund commitments</x:v>
      </x:c>
      <x:c r="D65" s="82"/>
      <x:c r="E65" s="82" t="d">
        <x:v>2026-06-30T00:00:00.000Z</x:v>
      </x:c>
      <x:c r="F65" s="116" t="str">
        <x:v>10-Q</x:v>
      </x:c>
      <x:c r="G65" s="82" t="d">
        <x:v>2026-08-05T00:00:00.000Z</x:v>
      </x:c>
      <x:c r="H65" s="116" t="str">
        <x:v>0000059478-26-000081</x:v>
      </x:c>
      <x:c r="I65" s="116"/>
      <x:c r="J65" s="116"/>
      <x:c r="K65" s="116"/>
      <x:c r="L65" s="116"/>
      <x:c r="M65" s="116" t="str">
        <x:v>https://www.sec.gov/Archives/edgar/data/59478/000005947826000081/lly-20260630.htm</x:v>
      </x:c>
      <x:c r="N65" s="116" t="str">
        <x:v>MD&amp;A p. 31</x:v>
      </x:c>
      <x:c r="O65" s="116" t="str">
        <x:v>Reviewed filing text</x:v>
      </x:c>
      <x:c r="P65" s="116" t="str">
        <x:v>[]</x:v>
      </x:c>
      <x:c r="Q65" s="116" t="str">
        <x:v>Expected to be paid over up to ten years. Individual capital-call dates are Unavailable.</x:v>
      </x:c>
      <x:c r="R65" s="16" t="str">
        <x:v>8e8f10cf3af98bc12a41985a98cfde9c2b9da8a812af18515d34ce3d8e1c1b3d</x:v>
      </x:c>
      <x:c r="S65" s="149"/>
      <x:c r="T65" s="150"/>
    </x:row>
    <x:row r="66" ht="85" customHeight="1">
      <x:c r="A66" s="25" t="str">
        <x:v>manufacturing</x:v>
      </x:c>
      <x:c r="B66" s="115" t="n">
        <x:v>10000000000</x:v>
      </x:c>
      <x:c r="C66" s="116" t="str">
        <x:v>Development-medicine supply arrangements: up to</x:v>
      </x:c>
      <x:c r="D66" s="82"/>
      <x:c r="E66" s="82" t="d">
        <x:v>2025-12-31T00:00:00.000Z</x:v>
      </x:c>
      <x:c r="F66" s="116" t="str">
        <x:v>10-K</x:v>
      </x:c>
      <x:c r="G66" s="82" t="d">
        <x:v>2026-02-12T00:00:00.000Z</x:v>
      </x:c>
      <x:c r="H66" s="116" t="str">
        <x:v>0000059478-26-000013</x:v>
      </x:c>
      <x:c r="I66" s="116"/>
      <x:c r="J66" s="116"/>
      <x:c r="K66" s="116"/>
      <x:c r="L66" s="116"/>
      <x:c r="M66" s="116" t="str">
        <x:v>https://www.sec.gov/Archives/edgar/data/59478/000005947826000013/lly-20251231.htm</x:v>
      </x:c>
      <x:c r="N66" s="116" t="str">
        <x:v>MD&amp;A p. 51</x:v>
      </x:c>
      <x:c r="O66" s="116" t="str">
        <x:v>Reviewed filing text</x:v>
      </x:c>
      <x:c r="P66" s="116" t="str">
        <x:v>[]</x:v>
      </x:c>
      <x:c r="Q66" s="116"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49"/>
      <x:c r="T66" s="150"/>
    </x:row>
    <x:row r="67" ht="85" customHeight="1">
      <x:c r="A67" s="25" t="str">
        <x:v>indiana</x:v>
      </x:c>
      <x:c r="B67" s="115" t="n">
        <x:v>4500000000</x:v>
      </x:c>
      <x:c r="C67" s="116" t="str">
        <x:v>Additional Indiana manufacturing investment</x:v>
      </x:c>
      <x:c r="D67" s="82"/>
      <x:c r="E67" s="82" t="str">
        <x:v>Announced August 5, 2026</x:v>
      </x:c>
      <x:c r="F67" s="116" t="str">
        <x:v>8-K Ex. 99.1</x:v>
      </x:c>
      <x:c r="G67" s="82" t="d">
        <x:v>2026-08-05T00:00:00.000Z</x:v>
      </x:c>
      <x:c r="H67" s="116" t="str">
        <x:v>0000059478-26-000077</x:v>
      </x:c>
      <x:c r="I67" s="116"/>
      <x:c r="J67" s="116"/>
      <x:c r="K67" s="116"/>
      <x:c r="L67" s="116"/>
      <x:c r="M67" s="116" t="str">
        <x:v>https://www.sec.gov/Archives/edgar/data/59478/000005947826000077/q226lillysalesandearningsp.htm</x:v>
      </x:c>
      <x:c r="N67" s="116" t="str">
        <x:v>Highlights; Other announcements</x:v>
      </x:c>
      <x:c r="O67" s="116" t="str">
        <x:v>Reviewed filing text</x:v>
      </x:c>
      <x:c r="P67" s="116" t="str">
        <x:v>[]</x:v>
      </x:c>
      <x:c r="Q67" s="116"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49"/>
      <x:c r="T67" s="150"/>
    </x:row>
    <x:row r="68" ht="85" customHeight="1">
      <x:c r="A68" s="25" t="str">
        <x:v>coverage_fy_revenue</x:v>
      </x:c>
      <x:c r="B68" s="115" t="n">
        <x:v>65179000000</x:v>
      </x:c>
      <x:c r="C68" s="116" t="str">
        <x:v>fy revenue</x:v>
      </x:c>
      <x:c r="D68" s="82" t="d">
        <x:v>2025-01-01T00:00:00.000Z</x:v>
      </x:c>
      <x:c r="E68" s="82" t="d">
        <x:v>2025-12-31T00:00:00.000Z</x:v>
      </x:c>
      <x:c r="F68" s="116" t="str">
        <x:v>10-K</x:v>
      </x:c>
      <x:c r="G68" s="82" t="d">
        <x:v>2026-02-12T00:00:00.000Z</x:v>
      </x:c>
      <x:c r="H68" s="116" t="str">
        <x:v>0000059478-26-000013</x:v>
      </x:c>
      <x:c r="I68" s="116" t="str">
        <x:v>us-gaap:Revenues</x:v>
      </x:c>
      <x:c r="J68" s="116" t="str">
        <x:v>c-1</x:v>
      </x:c>
      <x:c r="K68" s="116" t="n">
        <x:v>6</x:v>
      </x:c>
      <x:c r="L68" s="116" t="str">
        <x:v>-6</x:v>
      </x:c>
      <x:c r="M68" s="116" t="str">
        <x:v>https://www.sec.gov/Archives/edgar/data/59478/000005947826000013/lly-20251231.htm</x:v>
      </x:c>
      <x:c r="N68" s="116" t="str">
        <x:v>Consolidated operations p. 57</x:v>
      </x:c>
      <x:c r="O68" s="116" t="str">
        <x:v>Inline XBRL</x:v>
      </x:c>
      <x:c r="P68" s="116" t="str">
        <x:v>[]</x:v>
      </x:c>
      <x:c r="Q68" s="116" t="str">
        <x:v>Exact tag, duration, USD and Lilly CIK; no dimensions; consolidated operations table only</x:v>
      </x:c>
      <x:c r="R68" s="16" t="str">
        <x:v>d45f8d1e0945df0b7b30254e96ff8c5dbd1df7d15b17c8ef7399c8e0206b7d7f</x:v>
      </x:c>
      <x:c r="S68" s="149"/>
      <x:c r="T68" s="150"/>
    </x:row>
    <x:row r="69" ht="85" customHeight="1">
      <x:c r="A69" s="25" t="str">
        <x:v>coverage_fy_cost_sales</x:v>
      </x:c>
      <x:c r="B69" s="115" t="n">
        <x:v>11052000000</x:v>
      </x:c>
      <x:c r="C69" s="116" t="str">
        <x:v>fy cost_sales</x:v>
      </x:c>
      <x:c r="D69" s="82" t="d">
        <x:v>2025-01-01T00:00:00.000Z</x:v>
      </x:c>
      <x:c r="E69" s="82" t="d">
        <x:v>2025-12-31T00:00:00.000Z</x:v>
      </x:c>
      <x:c r="F69" s="116" t="str">
        <x:v>10-K</x:v>
      </x:c>
      <x:c r="G69" s="82" t="d">
        <x:v>2026-02-12T00:00:00.000Z</x:v>
      </x:c>
      <x:c r="H69" s="116" t="str">
        <x:v>0000059478-26-000013</x:v>
      </x:c>
      <x:c r="I69" s="116" t="str">
        <x:v>us-gaap:CostOfGoodsAndServicesSold</x:v>
      </x:c>
      <x:c r="J69" s="116" t="str">
        <x:v>c-1</x:v>
      </x:c>
      <x:c r="K69" s="116" t="n">
        <x:v>6</x:v>
      </x:c>
      <x:c r="L69" s="116" t="str">
        <x:v>-6</x:v>
      </x:c>
      <x:c r="M69" s="116" t="str">
        <x:v>https://www.sec.gov/Archives/edgar/data/59478/000005947826000013/lly-20251231.htm</x:v>
      </x:c>
      <x:c r="N69" s="116" t="str">
        <x:v>Consolidated operations p. 57</x:v>
      </x:c>
      <x:c r="O69" s="116" t="str">
        <x:v>Inline XBRL</x:v>
      </x:c>
      <x:c r="P69" s="116" t="str">
        <x:v>[]</x:v>
      </x:c>
      <x:c r="Q69" s="116" t="str">
        <x:v>Exact tag, duration, USD and Lilly CIK; no dimensions; consolidated operations table only</x:v>
      </x:c>
      <x:c r="R69" s="16" t="str">
        <x:v>d45f8d1e0945df0b7b30254e96ff8c5dbd1df7d15b17c8ef7399c8e0206b7d7f</x:v>
      </x:c>
      <x:c r="S69" s="149"/>
      <x:c r="T69" s="150"/>
    </x:row>
    <x:row r="70" ht="85" customHeight="1">
      <x:c r="A70" s="25" t="str">
        <x:v>coverage_fy_rd</x:v>
      </x:c>
      <x:c r="B70" s="115" t="n">
        <x:v>13337000000</x:v>
      </x:c>
      <x:c r="C70" s="116" t="str">
        <x:v>fy rd</x:v>
      </x:c>
      <x:c r="D70" s="82" t="d">
        <x:v>2025-01-01T00:00:00.000Z</x:v>
      </x:c>
      <x:c r="E70" s="82" t="d">
        <x:v>2025-12-31T00:00:00.000Z</x:v>
      </x:c>
      <x:c r="F70" s="116" t="str">
        <x:v>10-K</x:v>
      </x:c>
      <x:c r="G70" s="82" t="d">
        <x:v>2026-02-12T00:00:00.000Z</x:v>
      </x:c>
      <x:c r="H70" s="116" t="str">
        <x:v>0000059478-26-000013</x:v>
      </x:c>
      <x:c r="I70" s="116" t="str">
        <x:v>us-gaap:ResearchAndDevelopmentExpenseExcludingAcquiredInProcessCost</x:v>
      </x:c>
      <x:c r="J70" s="116" t="str">
        <x:v>c-1</x:v>
      </x:c>
      <x:c r="K70" s="116" t="n">
        <x:v>6</x:v>
      </x:c>
      <x:c r="L70" s="116" t="str">
        <x:v>-6</x:v>
      </x:c>
      <x:c r="M70" s="116" t="str">
        <x:v>https://www.sec.gov/Archives/edgar/data/59478/000005947826000013/lly-20251231.htm</x:v>
      </x:c>
      <x:c r="N70" s="116" t="str">
        <x:v>Consolidated operations p. 57</x:v>
      </x:c>
      <x:c r="O70" s="116" t="str">
        <x:v>Inline XBRL</x:v>
      </x:c>
      <x:c r="P70" s="116" t="str">
        <x:v>[]</x:v>
      </x:c>
      <x:c r="Q70" s="116" t="str">
        <x:v>Exact tag, duration, USD and Lilly CIK; no dimensions; consolidated operations table only</x:v>
      </x:c>
      <x:c r="R70" s="16" t="str">
        <x:v>d45f8d1e0945df0b7b30254e96ff8c5dbd1df7d15b17c8ef7399c8e0206b7d7f</x:v>
      </x:c>
      <x:c r="S70" s="149"/>
      <x:c r="T70" s="150"/>
    </x:row>
    <x:row r="71" ht="85" customHeight="1">
      <x:c r="A71" s="25" t="str">
        <x:v>coverage_fy_sga</x:v>
      </x:c>
      <x:c r="B71" s="115" t="n">
        <x:v>11094000000</x:v>
      </x:c>
      <x:c r="C71" s="116" t="str">
        <x:v>fy sga</x:v>
      </x:c>
      <x:c r="D71" s="82" t="d">
        <x:v>2025-01-01T00:00:00.000Z</x:v>
      </x:c>
      <x:c r="E71" s="82" t="d">
        <x:v>2025-12-31T00:00:00.000Z</x:v>
      </x:c>
      <x:c r="F71" s="116" t="str">
        <x:v>10-K</x:v>
      </x:c>
      <x:c r="G71" s="82" t="d">
        <x:v>2026-02-12T00:00:00.000Z</x:v>
      </x:c>
      <x:c r="H71" s="116" t="str">
        <x:v>0000059478-26-000013</x:v>
      </x:c>
      <x:c r="I71" s="116" t="str">
        <x:v>us-gaap:SellingGeneralAndAdministrativeExpense</x:v>
      </x:c>
      <x:c r="J71" s="116" t="str">
        <x:v>c-1</x:v>
      </x:c>
      <x:c r="K71" s="116" t="n">
        <x:v>6</x:v>
      </x:c>
      <x:c r="L71" s="116" t="str">
        <x:v>-6</x:v>
      </x:c>
      <x:c r="M71" s="116" t="str">
        <x:v>https://www.sec.gov/Archives/edgar/data/59478/000005947826000013/lly-20251231.htm</x:v>
      </x:c>
      <x:c r="N71" s="116" t="str">
        <x:v>Consolidated operations p. 57</x:v>
      </x:c>
      <x:c r="O71" s="116" t="str">
        <x:v>Inline XBRL</x:v>
      </x:c>
      <x:c r="P71" s="116" t="str">
        <x:v>[]</x:v>
      </x:c>
      <x:c r="Q71" s="116" t="str">
        <x:v>Exact tag, duration, USD and Lilly CIK; no dimensions; consolidated operations table only</x:v>
      </x:c>
      <x:c r="R71" s="16" t="str">
        <x:v>d45f8d1e0945df0b7b30254e96ff8c5dbd1df7d15b17c8ef7399c8e0206b7d7f</x:v>
      </x:c>
      <x:c r="S71" s="149"/>
      <x:c r="T71" s="150"/>
    </x:row>
    <x:row r="72" ht="85" customHeight="1">
      <x:c r="A72" s="25" t="str">
        <x:v>coverage_fy_iprd</x:v>
      </x:c>
      <x:c r="B72" s="115" t="n">
        <x:v>2910000000</x:v>
      </x:c>
      <x:c r="C72" s="116" t="str">
        <x:v>fy iprd</x:v>
      </x:c>
      <x:c r="D72" s="82" t="d">
        <x:v>2025-01-01T00:00:00.000Z</x:v>
      </x:c>
      <x:c r="E72" s="82" t="d">
        <x:v>2025-12-31T00:00:00.000Z</x:v>
      </x:c>
      <x:c r="F72" s="116" t="str">
        <x:v>10-K</x:v>
      </x:c>
      <x:c r="G72" s="82" t="d">
        <x:v>2026-02-12T00:00:00.000Z</x:v>
      </x:c>
      <x:c r="H72" s="116" t="str">
        <x:v>0000059478-26-000013</x:v>
      </x:c>
      <x:c r="I72" s="116" t="str">
        <x:v>us-gaap:ResearchAndDevelopmentAssetAcquiredOtherThanThroughBusinessCombinationWrittenOff</x:v>
      </x:c>
      <x:c r="J72" s="116" t="str">
        <x:v>c-1</x:v>
      </x:c>
      <x:c r="K72" s="116" t="n">
        <x:v>6</x:v>
      </x:c>
      <x:c r="L72" s="116" t="str">
        <x:v>-6</x:v>
      </x:c>
      <x:c r="M72" s="116" t="str">
        <x:v>https://www.sec.gov/Archives/edgar/data/59478/000005947826000013/lly-20251231.htm</x:v>
      </x:c>
      <x:c r="N72" s="116" t="str">
        <x:v>Consolidated operations p. 57</x:v>
      </x:c>
      <x:c r="O72" s="116" t="str">
        <x:v>Inline XBRL</x:v>
      </x:c>
      <x:c r="P72" s="116" t="str">
        <x:v>[]</x:v>
      </x:c>
      <x:c r="Q72" s="116" t="str">
        <x:v>Exact tag, duration, USD and Lilly CIK; no dimensions; consolidated operations table only</x:v>
      </x:c>
      <x:c r="R72" s="16" t="str">
        <x:v>d45f8d1e0945df0b7b30254e96ff8c5dbd1df7d15b17c8ef7399c8e0206b7d7f</x:v>
      </x:c>
      <x:c r="S72" s="149"/>
      <x:c r="T72" s="150"/>
    </x:row>
    <x:row r="73" ht="85" customHeight="1">
      <x:c r="A73" s="25" t="str">
        <x:v>coverage_fy_special</x:v>
      </x:c>
      <x:c r="B73" s="115" t="n">
        <x:v>484000000</x:v>
      </x:c>
      <x:c r="C73" s="116" t="str">
        <x:v>fy special</x:v>
      </x:c>
      <x:c r="D73" s="82" t="d">
        <x:v>2025-01-01T00:00:00.000Z</x:v>
      </x:c>
      <x:c r="E73" s="82" t="d">
        <x:v>2025-12-31T00:00:00.000Z</x:v>
      </x:c>
      <x:c r="F73" s="116" t="str">
        <x:v>10-K</x:v>
      </x:c>
      <x:c r="G73" s="82" t="d">
        <x:v>2026-02-12T00:00:00.000Z</x:v>
      </x:c>
      <x:c r="H73" s="116" t="str">
        <x:v>0000059478-26-000013</x:v>
      </x:c>
      <x:c r="I73" s="116" t="str">
        <x:v>us-gaap:RestructuringSettlementAndImpairmentProvisions</x:v>
      </x:c>
      <x:c r="J73" s="116" t="str">
        <x:v>c-1</x:v>
      </x:c>
      <x:c r="K73" s="116" t="n">
        <x:v>6</x:v>
      </x:c>
      <x:c r="L73" s="116" t="str">
        <x:v>-6</x:v>
      </x:c>
      <x:c r="M73" s="116" t="str">
        <x:v>https://www.sec.gov/Archives/edgar/data/59478/000005947826000013/lly-20251231.htm</x:v>
      </x:c>
      <x:c r="N73" s="116" t="str">
        <x:v>Consolidated operations p. 57</x:v>
      </x:c>
      <x:c r="O73" s="116" t="str">
        <x:v>Inline XBRL</x:v>
      </x:c>
      <x:c r="P73" s="116" t="str">
        <x:v>[]</x:v>
      </x:c>
      <x:c r="Q73" s="116" t="str">
        <x:v>Exact tag, duration, USD and Lilly CIK; no dimensions; consolidated operations table only</x:v>
      </x:c>
      <x:c r="R73" s="16" t="str">
        <x:v>d45f8d1e0945df0b7b30254e96ff8c5dbd1df7d15b17c8ef7399c8e0206b7d7f</x:v>
      </x:c>
      <x:c r="S73" s="149"/>
      <x:c r="T73" s="150"/>
    </x:row>
    <x:row r="74" ht="85" customHeight="1">
      <x:c r="A74" s="25" t="str">
        <x:v>coverage_fy_other_income</x:v>
      </x:c>
      <x:c r="B74" s="115" t="n">
        <x:v>-571000000</x:v>
      </x:c>
      <x:c r="C74" s="116" t="str">
        <x:v>fy other_income</x:v>
      </x:c>
      <x:c r="D74" s="82" t="d">
        <x:v>2025-01-01T00:00:00.000Z</x:v>
      </x:c>
      <x:c r="E74" s="82" t="d">
        <x:v>2025-12-31T00:00:00.000Z</x:v>
      </x:c>
      <x:c r="F74" s="116" t="str">
        <x:v>10-K</x:v>
      </x:c>
      <x:c r="G74" s="82" t="d">
        <x:v>2026-02-12T00:00:00.000Z</x:v>
      </x:c>
      <x:c r="H74" s="116" t="str">
        <x:v>0000059478-26-000013</x:v>
      </x:c>
      <x:c r="I74" s="116" t="str">
        <x:v>us-gaap:NonoperatingIncomeExpense</x:v>
      </x:c>
      <x:c r="J74" s="116" t="str">
        <x:v>c-1</x:v>
      </x:c>
      <x:c r="K74" s="116" t="n">
        <x:v>6</x:v>
      </x:c>
      <x:c r="L74" s="116" t="str">
        <x:v>-6</x:v>
      </x:c>
      <x:c r="M74" s="116" t="str">
        <x:v>https://www.sec.gov/Archives/edgar/data/59478/000005947826000013/lly-20251231.htm</x:v>
      </x:c>
      <x:c r="N74" s="116" t="str">
        <x:v>Consolidated operations p. 57</x:v>
      </x:c>
      <x:c r="O74" s="116" t="str">
        <x:v>Inline XBRL</x:v>
      </x:c>
      <x:c r="P74" s="116" t="str">
        <x:v>[]</x:v>
      </x:c>
      <x:c r="Q74" s="116" t="str">
        <x:v>Exact tag, duration, USD and Lilly CIK; no dimensions; consolidated operations table only</x:v>
      </x:c>
      <x:c r="R74" s="16" t="str">
        <x:v>d45f8d1e0945df0b7b30254e96ff8c5dbd1df7d15b17c8ef7399c8e0206b7d7f</x:v>
      </x:c>
      <x:c r="S74" s="149"/>
      <x:c r="T74" s="150"/>
    </x:row>
    <x:row r="75" ht="85" customHeight="1">
      <x:c r="A75" s="25" t="str">
        <x:v>coverage_fy_pretax</x:v>
      </x:c>
      <x:c r="B75" s="115" t="n">
        <x:v>25731000000</x:v>
      </x:c>
      <x:c r="C75" s="116" t="str">
        <x:v>fy pretax</x:v>
      </x:c>
      <x:c r="D75" s="82" t="d">
        <x:v>2025-01-01T00:00:00.000Z</x:v>
      </x:c>
      <x:c r="E75" s="82" t="d">
        <x:v>2025-12-31T00:00:00.000Z</x:v>
      </x:c>
      <x:c r="F75" s="116" t="str">
        <x:v>10-K</x:v>
      </x:c>
      <x:c r="G75" s="82" t="d">
        <x:v>2026-02-12T00:00:00.000Z</x:v>
      </x:c>
      <x:c r="H75" s="116" t="str">
        <x:v>0000059478-26-000013</x:v>
      </x:c>
      <x:c r="I75" s="116" t="str">
        <x:v>us-gaap:IncomeLossFromContinuingOperationsBeforeIncomeTaxesExtraordinaryItemsNoncontrollingInterest</x:v>
      </x:c>
      <x:c r="J75" s="116" t="str">
        <x:v>c-1</x:v>
      </x:c>
      <x:c r="K75" s="116" t="n">
        <x:v>6</x:v>
      </x:c>
      <x:c r="L75" s="116" t="str">
        <x:v>-6</x:v>
      </x:c>
      <x:c r="M75" s="116" t="str">
        <x:v>https://www.sec.gov/Archives/edgar/data/59478/000005947826000013/lly-20251231.htm</x:v>
      </x:c>
      <x:c r="N75" s="116" t="str">
        <x:v>Consolidated operations p. 57</x:v>
      </x:c>
      <x:c r="O75" s="116" t="str">
        <x:v>Inline XBRL</x:v>
      </x:c>
      <x:c r="P75" s="116" t="str">
        <x:v>[]</x:v>
      </x:c>
      <x:c r="Q75" s="116" t="str">
        <x:v>Exact tag, duration, USD and Lilly CIK; no dimensions; consolidated operations table only</x:v>
      </x:c>
      <x:c r="R75" s="16" t="str">
        <x:v>d45f8d1e0945df0b7b30254e96ff8c5dbd1df7d15b17c8ef7399c8e0206b7d7f</x:v>
      </x:c>
      <x:c r="S75" s="149"/>
      <x:c r="T75" s="150"/>
    </x:row>
    <x:row r="76" ht="85" customHeight="1">
      <x:c r="A76" s="25" t="str">
        <x:v>coverage_fy_interest</x:v>
      </x:c>
      <x:c r="B76" s="115" t="n">
        <x:v>895000000</x:v>
      </x:c>
      <x:c r="C76" s="116" t="str">
        <x:v>fy interest</x:v>
      </x:c>
      <x:c r="D76" s="82" t="d">
        <x:v>2025-01-01T00:00:00.000Z</x:v>
      </x:c>
      <x:c r="E76" s="82" t="d">
        <x:v>2025-12-31T00:00:00.000Z</x:v>
      </x:c>
      <x:c r="F76" s="116" t="str">
        <x:v>10-K</x:v>
      </x:c>
      <x:c r="G76" s="82" t="d">
        <x:v>2026-02-12T00:00:00.000Z</x:v>
      </x:c>
      <x:c r="H76" s="116" t="str">
        <x:v>0000059478-26-000013</x:v>
      </x:c>
      <x:c r="I76" s="116" t="str">
        <x:v>us-gaap:InterestExpenseNonoperating</x:v>
      </x:c>
      <x:c r="J76" s="116" t="str">
        <x:v>c-1</x:v>
      </x:c>
      <x:c r="K76" s="116" t="n">
        <x:v>6</x:v>
      </x:c>
      <x:c r="L76" s="116" t="str">
        <x:v>-6</x:v>
      </x:c>
      <x:c r="M76" s="116" t="str">
        <x:v>https://www.sec.gov/Archives/edgar/data/59478/000005947826000013/lly-20251231.htm</x:v>
      </x:c>
      <x:c r="N76" s="116" t="str">
        <x:v>Note 11 p. 77</x:v>
      </x:c>
      <x:c r="O76" s="116" t="str">
        <x:v>Inline XBRL</x:v>
      </x:c>
      <x:c r="P76" s="116" t="str">
        <x:v>[]</x:v>
      </x:c>
      <x:c r="Q76" s="116" t="str">
        <x:v>Exact tag, duration, USD and Lilly CIK; no dimensions</x:v>
      </x:c>
      <x:c r="R76" s="16" t="str">
        <x:v>d45f8d1e0945df0b7b30254e96ff8c5dbd1df7d15b17c8ef7399c8e0206b7d7f</x:v>
      </x:c>
      <x:c r="S76" s="149"/>
      <x:c r="T76" s="150"/>
    </x:row>
    <x:row r="77" ht="85" customHeight="1">
      <x:c r="A77" s="25" t="str">
        <x:v>coverage_current_revenue</x:v>
      </x:c>
      <x:c r="B77" s="115" t="n">
        <x:v>42773000000</x:v>
      </x:c>
      <x:c r="C77" s="116" t="str">
        <x:v>current revenue</x:v>
      </x:c>
      <x:c r="D77" s="82" t="d">
        <x:v>2026-01-01T00:00:00.000Z</x:v>
      </x:c>
      <x:c r="E77" s="82" t="d">
        <x:v>2026-06-30T00:00:00.000Z</x:v>
      </x:c>
      <x:c r="F77" s="116" t="str">
        <x:v>10-Q</x:v>
      </x:c>
      <x:c r="G77" s="82" t="d">
        <x:v>2026-08-05T00:00:00.000Z</x:v>
      </x:c>
      <x:c r="H77" s="116" t="str">
        <x:v>0000059478-26-000081</x:v>
      </x:c>
      <x:c r="I77" s="116" t="str">
        <x:v>us-gaap:Revenues</x:v>
      </x:c>
      <x:c r="J77" s="116" t="str">
        <x:v>c-1</x:v>
      </x:c>
      <x:c r="K77" s="116" t="n">
        <x:v>6</x:v>
      </x:c>
      <x:c r="L77" s="116" t="str">
        <x:v>-6</x:v>
      </x:c>
      <x:c r="M77" s="116" t="str">
        <x:v>https://www.sec.gov/Archives/edgar/data/59478/000005947826000081/lly-20260630.htm</x:v>
      </x:c>
      <x:c r="N77" s="116" t="str">
        <x:v>Consolidated operations p. 5</x:v>
      </x:c>
      <x:c r="O77" s="116" t="str">
        <x:v>Inline XBRL</x:v>
      </x:c>
      <x:c r="P77" s="116" t="str">
        <x:v>[]</x:v>
      </x:c>
      <x:c r="Q77" s="116" t="str">
        <x:v>Exact tag, duration, USD and Lilly CIK; no dimensions; consolidated operations table only</x:v>
      </x:c>
      <x:c r="R77" s="16" t="str">
        <x:v>8e8f10cf3af98bc12a41985a98cfde9c2b9da8a812af18515d34ce3d8e1c1b3d</x:v>
      </x:c>
      <x:c r="S77" s="149"/>
      <x:c r="T77" s="150"/>
    </x:row>
    <x:row r="78" ht="85" customHeight="1">
      <x:c r="A78" s="25" t="str">
        <x:v>coverage_current_cost_sales</x:v>
      </x:c>
      <x:c r="B78" s="115" t="n">
        <x:v>6845000000</x:v>
      </x:c>
      <x:c r="C78" s="116" t="str">
        <x:v>current cost_sales</x:v>
      </x:c>
      <x:c r="D78" s="82" t="d">
        <x:v>2026-01-01T00:00:00.000Z</x:v>
      </x:c>
      <x:c r="E78" s="82" t="d">
        <x:v>2026-06-30T00:00:00.000Z</x:v>
      </x:c>
      <x:c r="F78" s="116" t="str">
        <x:v>10-Q</x:v>
      </x:c>
      <x:c r="G78" s="82" t="d">
        <x:v>2026-08-05T00:00:00.000Z</x:v>
      </x:c>
      <x:c r="H78" s="116" t="str">
        <x:v>0000059478-26-000081</x:v>
      </x:c>
      <x:c r="I78" s="116" t="str">
        <x:v>us-gaap:CostOfGoodsAndServicesSold</x:v>
      </x:c>
      <x:c r="J78" s="116" t="str">
        <x:v>c-1</x:v>
      </x:c>
      <x:c r="K78" s="116" t="n">
        <x:v>6</x:v>
      </x:c>
      <x:c r="L78" s="116" t="str">
        <x:v>-6</x:v>
      </x:c>
      <x:c r="M78" s="116" t="str">
        <x:v>https://www.sec.gov/Archives/edgar/data/59478/000005947826000081/lly-20260630.htm</x:v>
      </x:c>
      <x:c r="N78" s="116" t="str">
        <x:v>Consolidated operations p. 5</x:v>
      </x:c>
      <x:c r="O78" s="116" t="str">
        <x:v>Inline XBRL</x:v>
      </x:c>
      <x:c r="P78" s="116" t="str">
        <x:v>[]</x:v>
      </x:c>
      <x:c r="Q78" s="116" t="str">
        <x:v>Exact tag, duration, USD and Lilly CIK; no dimensions; consolidated operations table only</x:v>
      </x:c>
      <x:c r="R78" s="16" t="str">
        <x:v>8e8f10cf3af98bc12a41985a98cfde9c2b9da8a812af18515d34ce3d8e1c1b3d</x:v>
      </x:c>
      <x:c r="S78" s="149"/>
      <x:c r="T78" s="150"/>
    </x:row>
    <x:row r="79" ht="85" customHeight="1">
      <x:c r="A79" s="25" t="str">
        <x:v>coverage_current_rd</x:v>
      </x:c>
      <x:c r="B79" s="115" t="n">
        <x:v>7329000000</x:v>
      </x:c>
      <x:c r="C79" s="116" t="str">
        <x:v>current rd</x:v>
      </x:c>
      <x:c r="D79" s="82" t="d">
        <x:v>2026-01-01T00:00:00.000Z</x:v>
      </x:c>
      <x:c r="E79" s="82" t="d">
        <x:v>2026-06-30T00:00:00.000Z</x:v>
      </x:c>
      <x:c r="F79" s="116" t="str">
        <x:v>10-Q</x:v>
      </x:c>
      <x:c r="G79" s="82" t="d">
        <x:v>2026-08-05T00:00:00.000Z</x:v>
      </x:c>
      <x:c r="H79" s="116" t="str">
        <x:v>0000059478-26-000081</x:v>
      </x:c>
      <x:c r="I79" s="116" t="str">
        <x:v>us-gaap:ResearchAndDevelopmentExpenseExcludingAcquiredInProcessCost</x:v>
      </x:c>
      <x:c r="J79" s="116" t="str">
        <x:v>c-1</x:v>
      </x:c>
      <x:c r="K79" s="116" t="n">
        <x:v>6</x:v>
      </x:c>
      <x:c r="L79" s="116" t="str">
        <x:v>-6</x:v>
      </x:c>
      <x:c r="M79" s="116" t="str">
        <x:v>https://www.sec.gov/Archives/edgar/data/59478/000005947826000081/lly-20260630.htm</x:v>
      </x:c>
      <x:c r="N79" s="116" t="str">
        <x:v>Consolidated operations p. 5</x:v>
      </x:c>
      <x:c r="O79" s="116" t="str">
        <x:v>Inline XBRL</x:v>
      </x:c>
      <x:c r="P79" s="116" t="str">
        <x:v>[]</x:v>
      </x:c>
      <x:c r="Q79" s="116" t="str">
        <x:v>Exact tag, duration, USD and Lilly CIK; no dimensions; consolidated operations table only</x:v>
      </x:c>
      <x:c r="R79" s="16" t="str">
        <x:v>8e8f10cf3af98bc12a41985a98cfde9c2b9da8a812af18515d34ce3d8e1c1b3d</x:v>
      </x:c>
      <x:c r="S79" s="149"/>
      <x:c r="T79" s="150"/>
    </x:row>
    <x:row r="80" ht="85" customHeight="1">
      <x:c r="A80" s="25" t="str">
        <x:v>coverage_current_sga</x:v>
      </x:c>
      <x:c r="B80" s="115" t="n">
        <x:v>6364000000</x:v>
      </x:c>
      <x:c r="C80" s="116" t="str">
        <x:v>current sga</x:v>
      </x:c>
      <x:c r="D80" s="82" t="d">
        <x:v>2026-01-01T00:00:00.000Z</x:v>
      </x:c>
      <x:c r="E80" s="82" t="d">
        <x:v>2026-06-30T00:00:00.000Z</x:v>
      </x:c>
      <x:c r="F80" s="116" t="str">
        <x:v>10-Q</x:v>
      </x:c>
      <x:c r="G80" s="82" t="d">
        <x:v>2026-08-05T00:00:00.000Z</x:v>
      </x:c>
      <x:c r="H80" s="116" t="str">
        <x:v>0000059478-26-000081</x:v>
      </x:c>
      <x:c r="I80" s="116" t="str">
        <x:v>us-gaap:SellingGeneralAndAdministrativeExpense</x:v>
      </x:c>
      <x:c r="J80" s="116" t="str">
        <x:v>c-1</x:v>
      </x:c>
      <x:c r="K80" s="116" t="n">
        <x:v>6</x:v>
      </x:c>
      <x:c r="L80" s="116" t="str">
        <x:v>-6</x:v>
      </x:c>
      <x:c r="M80" s="116" t="str">
        <x:v>https://www.sec.gov/Archives/edgar/data/59478/000005947826000081/lly-20260630.htm</x:v>
      </x:c>
      <x:c r="N80" s="116" t="str">
        <x:v>Consolidated operations p. 5</x:v>
      </x:c>
      <x:c r="O80" s="116" t="str">
        <x:v>Inline XBRL</x:v>
      </x:c>
      <x:c r="P80" s="116" t="str">
        <x:v>[]</x:v>
      </x:c>
      <x:c r="Q80" s="116" t="str">
        <x:v>Exact tag, duration, USD and Lilly CIK; no dimensions; consolidated operations table only</x:v>
      </x:c>
      <x:c r="R80" s="16" t="str">
        <x:v>8e8f10cf3af98bc12a41985a98cfde9c2b9da8a812af18515d34ce3d8e1c1b3d</x:v>
      </x:c>
      <x:c r="S80" s="149"/>
      <x:c r="T80" s="150"/>
    </x:row>
    <x:row r="81" ht="85" customHeight="1">
      <x:c r="A81" s="25" t="str">
        <x:v>coverage_current_iprd</x:v>
      </x:c>
      <x:c r="B81" s="115" t="n">
        <x:v>3360000000</x:v>
      </x:c>
      <x:c r="C81" s="116" t="str">
        <x:v>current iprd</x:v>
      </x:c>
      <x:c r="D81" s="82" t="d">
        <x:v>2026-01-01T00:00:00.000Z</x:v>
      </x:c>
      <x:c r="E81" s="82" t="d">
        <x:v>2026-06-30T00:00:00.000Z</x:v>
      </x:c>
      <x:c r="F81" s="116" t="str">
        <x:v>10-Q</x:v>
      </x:c>
      <x:c r="G81" s="82" t="d">
        <x:v>2026-08-05T00:00:00.000Z</x:v>
      </x:c>
      <x:c r="H81" s="116" t="str">
        <x:v>0000059478-26-000081</x:v>
      </x:c>
      <x:c r="I81" s="116" t="str">
        <x:v>us-gaap:ResearchAndDevelopmentAssetAcquiredOtherThanThroughBusinessCombinationWrittenOff</x:v>
      </x:c>
      <x:c r="J81" s="116" t="str">
        <x:v>c-1</x:v>
      </x:c>
      <x:c r="K81" s="116" t="n">
        <x:v>6</x:v>
      </x:c>
      <x:c r="L81" s="116" t="str">
        <x:v>-6</x:v>
      </x:c>
      <x:c r="M81" s="116" t="str">
        <x:v>https://www.sec.gov/Archives/edgar/data/59478/000005947826000081/lly-20260630.htm</x:v>
      </x:c>
      <x:c r="N81" s="116" t="str">
        <x:v>Consolidated operations p. 5</x:v>
      </x:c>
      <x:c r="O81" s="116" t="str">
        <x:v>Inline XBRL</x:v>
      </x:c>
      <x:c r="P81" s="116" t="str">
        <x:v>[]</x:v>
      </x:c>
      <x:c r="Q81" s="116" t="str">
        <x:v>Exact tag, duration, USD and Lilly CIK; no dimensions; consolidated operations table only</x:v>
      </x:c>
      <x:c r="R81" s="16" t="str">
        <x:v>8e8f10cf3af98bc12a41985a98cfde9c2b9da8a812af18515d34ce3d8e1c1b3d</x:v>
      </x:c>
      <x:c r="S81" s="149"/>
      <x:c r="T81" s="150"/>
    </x:row>
    <x:row r="82" ht="85" customHeight="1">
      <x:c r="A82" s="25" t="str">
        <x:v>coverage_current_special</x:v>
      </x:c>
      <x:c r="B82" s="115" t="n">
        <x:v>982000000</x:v>
      </x:c>
      <x:c r="C82" s="116" t="str">
        <x:v>current special</x:v>
      </x:c>
      <x:c r="D82" s="82" t="d">
        <x:v>2026-01-01T00:00:00.000Z</x:v>
      </x:c>
      <x:c r="E82" s="82" t="d">
        <x:v>2026-06-30T00:00:00.000Z</x:v>
      </x:c>
      <x:c r="F82" s="116" t="str">
        <x:v>10-Q</x:v>
      </x:c>
      <x:c r="G82" s="82" t="d">
        <x:v>2026-08-05T00:00:00.000Z</x:v>
      </x:c>
      <x:c r="H82" s="116" t="str">
        <x:v>0000059478-26-000081</x:v>
      </x:c>
      <x:c r="I82" s="116" t="str">
        <x:v>us-gaap:RestructuringSettlementAndImpairmentProvisions</x:v>
      </x:c>
      <x:c r="J82" s="116" t="str">
        <x:v>c-1</x:v>
      </x:c>
      <x:c r="K82" s="116" t="n">
        <x:v>6</x:v>
      </x:c>
      <x:c r="L82" s="116" t="str">
        <x:v>-6</x:v>
      </x:c>
      <x:c r="M82" s="116" t="str">
        <x:v>https://www.sec.gov/Archives/edgar/data/59478/000005947826000081/lly-20260630.htm</x:v>
      </x:c>
      <x:c r="N82" s="116" t="str">
        <x:v>Consolidated operations p. 5</x:v>
      </x:c>
      <x:c r="O82" s="116" t="str">
        <x:v>Inline XBRL</x:v>
      </x:c>
      <x:c r="P82" s="116" t="str">
        <x:v>[]</x:v>
      </x:c>
      <x:c r="Q82" s="116" t="str">
        <x:v>Exact tag, duration, USD and Lilly CIK; no dimensions; consolidated operations table only</x:v>
      </x:c>
      <x:c r="R82" s="16" t="str">
        <x:v>8e8f10cf3af98bc12a41985a98cfde9c2b9da8a812af18515d34ce3d8e1c1b3d</x:v>
      </x:c>
      <x:c r="S82" s="149"/>
      <x:c r="T82" s="150"/>
    </x:row>
    <x:row r="83" ht="85" customHeight="1">
      <x:c r="A83" s="25" t="str">
        <x:v>coverage_current_other_income</x:v>
      </x:c>
      <x:c r="B83" s="115" t="n">
        <x:v>204000000</x:v>
      </x:c>
      <x:c r="C83" s="116" t="str">
        <x:v>current other_income</x:v>
      </x:c>
      <x:c r="D83" s="82" t="d">
        <x:v>2026-01-01T00:00:00.000Z</x:v>
      </x:c>
      <x:c r="E83" s="82" t="d">
        <x:v>2026-06-30T00:00:00.000Z</x:v>
      </x:c>
      <x:c r="F83" s="116" t="str">
        <x:v>10-Q</x:v>
      </x:c>
      <x:c r="G83" s="82" t="d">
        <x:v>2026-08-05T00:00:00.000Z</x:v>
      </x:c>
      <x:c r="H83" s="116" t="str">
        <x:v>0000059478-26-000081</x:v>
      </x:c>
      <x:c r="I83" s="116" t="str">
        <x:v>us-gaap:NonoperatingIncomeExpense</x:v>
      </x:c>
      <x:c r="J83" s="116" t="str">
        <x:v>c-1</x:v>
      </x:c>
      <x:c r="K83" s="116" t="n">
        <x:v>6</x:v>
      </x:c>
      <x:c r="L83" s="116" t="str">
        <x:v>-6</x:v>
      </x:c>
      <x:c r="M83" s="116" t="str">
        <x:v>https://www.sec.gov/Archives/edgar/data/59478/000005947826000081/lly-20260630.htm</x:v>
      </x:c>
      <x:c r="N83" s="116" t="str">
        <x:v>Consolidated operations p. 5</x:v>
      </x:c>
      <x:c r="O83" s="116" t="str">
        <x:v>Inline XBRL</x:v>
      </x:c>
      <x:c r="P83" s="116" t="str">
        <x:v>[]</x:v>
      </x:c>
      <x:c r="Q83" s="116" t="str">
        <x:v>Exact tag, duration, USD and Lilly CIK; no dimensions; consolidated operations table only</x:v>
      </x:c>
      <x:c r="R83" s="16" t="str">
        <x:v>8e8f10cf3af98bc12a41985a98cfde9c2b9da8a812af18515d34ce3d8e1c1b3d</x:v>
      </x:c>
      <x:c r="S83" s="149"/>
      <x:c r="T83" s="150"/>
    </x:row>
    <x:row r="84" ht="85" customHeight="1">
      <x:c r="A84" s="25" t="str">
        <x:v>coverage_current_pretax</x:v>
      </x:c>
      <x:c r="B84" s="115" t="n">
        <x:v>18097000000</x:v>
      </x:c>
      <x:c r="C84" s="116" t="str">
        <x:v>current pretax</x:v>
      </x:c>
      <x:c r="D84" s="82" t="d">
        <x:v>2026-01-01T00:00:00.000Z</x:v>
      </x:c>
      <x:c r="E84" s="82" t="d">
        <x:v>2026-06-30T00:00:00.000Z</x:v>
      </x:c>
      <x:c r="F84" s="116" t="str">
        <x:v>10-Q</x:v>
      </x:c>
      <x:c r="G84" s="82" t="d">
        <x:v>2026-08-05T00:00:00.000Z</x:v>
      </x:c>
      <x:c r="H84" s="116" t="str">
        <x:v>0000059478-26-000081</x:v>
      </x:c>
      <x:c r="I84" s="116" t="str">
        <x:v>us-gaap:IncomeLossFromContinuingOperationsBeforeIncomeTaxesExtraordinaryItemsNoncontrollingInterest</x:v>
      </x:c>
      <x:c r="J84" s="116" t="str">
        <x:v>c-1</x:v>
      </x:c>
      <x:c r="K84" s="116" t="n">
        <x:v>6</x:v>
      </x:c>
      <x:c r="L84" s="116" t="str">
        <x:v>-6</x:v>
      </x:c>
      <x:c r="M84" s="116" t="str">
        <x:v>https://www.sec.gov/Archives/edgar/data/59478/000005947826000081/lly-20260630.htm</x:v>
      </x:c>
      <x:c r="N84" s="116" t="str">
        <x:v>Consolidated operations p. 5</x:v>
      </x:c>
      <x:c r="O84" s="116" t="str">
        <x:v>Inline XBRL</x:v>
      </x:c>
      <x:c r="P84" s="116" t="str">
        <x:v>[]</x:v>
      </x:c>
      <x:c r="Q84" s="116" t="str">
        <x:v>Exact tag, duration, USD and Lilly CIK; no dimensions; consolidated operations table only</x:v>
      </x:c>
      <x:c r="R84" s="16" t="str">
        <x:v>8e8f10cf3af98bc12a41985a98cfde9c2b9da8a812af18515d34ce3d8e1c1b3d</x:v>
      </x:c>
      <x:c r="S84" s="149"/>
      <x:c r="T84" s="150"/>
    </x:row>
    <x:row r="85" ht="85" customHeight="1">
      <x:c r="A85" s="25" t="str">
        <x:v>coverage_current_interest</x:v>
      </x:c>
      <x:c r="B85" s="115" t="n">
        <x:v>677000000</x:v>
      </x:c>
      <x:c r="C85" s="116" t="str">
        <x:v>current interest</x:v>
      </x:c>
      <x:c r="D85" s="82" t="d">
        <x:v>2026-01-01T00:00:00.000Z</x:v>
      </x:c>
      <x:c r="E85" s="82" t="d">
        <x:v>2026-06-30T00:00:00.000Z</x:v>
      </x:c>
      <x:c r="F85" s="116" t="str">
        <x:v>10-Q</x:v>
      </x:c>
      <x:c r="G85" s="82" t="d">
        <x:v>2026-08-05T00:00:00.000Z</x:v>
      </x:c>
      <x:c r="H85" s="116" t="str">
        <x:v>0000059478-26-000081</x:v>
      </x:c>
      <x:c r="I85" s="116" t="str">
        <x:v>us-gaap:InterestExpenseNonoperating</x:v>
      </x:c>
      <x:c r="J85" s="116" t="str">
        <x:v>c-397</x:v>
      </x:c>
      <x:c r="K85" s="116" t="n">
        <x:v>6</x:v>
      </x:c>
      <x:c r="L85" s="116" t="str">
        <x:v>-6</x:v>
      </x:c>
      <x:c r="M85" s="116" t="str">
        <x:v>https://www.sec.gov/Archives/edgar/data/59478/000005947826000081/lly-20260630.htm</x:v>
      </x:c>
      <x:c r="N85" s="116" t="str">
        <x:v>Note 11 p. 23</x:v>
      </x:c>
      <x:c r="O85" s="116" t="str">
        <x:v>Inline XBRL</x:v>
      </x:c>
      <x:c r="P85" s="116" t="str">
        <x:v>[["us-gaap:StatementBusinessSegmentsAxis","lly:ReportableSegmentMember"]]</x:v>
      </x:c>
      <x:c r="Q85" s="116" t="str">
        <x:v>Exact tag, duration, USD and Lilly CIK; exact single-segment dimension</x:v>
      </x:c>
      <x:c r="R85" s="16" t="str">
        <x:v>8e8f10cf3af98bc12a41985a98cfde9c2b9da8a812af18515d34ce3d8e1c1b3d</x:v>
      </x:c>
      <x:c r="S85" s="149"/>
      <x:c r="T85" s="150"/>
    </x:row>
    <x:row r="86" ht="85" customHeight="1">
      <x:c r="A86" s="25" t="str">
        <x:v>coverage_prior_revenue</x:v>
      </x:c>
      <x:c r="B86" s="115" t="n">
        <x:v>28286000000</x:v>
      </x:c>
      <x:c r="C86" s="116" t="str">
        <x:v>prior revenue</x:v>
      </x:c>
      <x:c r="D86" s="82" t="d">
        <x:v>2025-01-01T00:00:00.000Z</x:v>
      </x:c>
      <x:c r="E86" s="82" t="d">
        <x:v>2025-06-30T00:00:00.000Z</x:v>
      </x:c>
      <x:c r="F86" s="116" t="str">
        <x:v>10-Q</x:v>
      </x:c>
      <x:c r="G86" s="82" t="d">
        <x:v>2026-08-05T00:00:00.000Z</x:v>
      </x:c>
      <x:c r="H86" s="116" t="str">
        <x:v>0000059478-26-000081</x:v>
      </x:c>
      <x:c r="I86" s="116" t="str">
        <x:v>us-gaap:Revenues</x:v>
      </x:c>
      <x:c r="J86" s="116" t="str">
        <x:v>c-14</x:v>
      </x:c>
      <x:c r="K86" s="116" t="n">
        <x:v>6</x:v>
      </x:c>
      <x:c r="L86" s="116" t="str">
        <x:v>-6</x:v>
      </x:c>
      <x:c r="M86" s="116" t="str">
        <x:v>https://www.sec.gov/Archives/edgar/data/59478/000005947826000081/lly-20260630.htm</x:v>
      </x:c>
      <x:c r="N86" s="116" t="str">
        <x:v>Consolidated operations p. 5</x:v>
      </x:c>
      <x:c r="O86" s="116" t="str">
        <x:v>Inline XBRL</x:v>
      </x:c>
      <x:c r="P86" s="116" t="str">
        <x:v>[]</x:v>
      </x:c>
      <x:c r="Q86" s="116" t="str">
        <x:v>Exact tag, duration, USD and Lilly CIK; no dimensions; consolidated operations table only</x:v>
      </x:c>
      <x:c r="R86" s="16" t="str">
        <x:v>8e8f10cf3af98bc12a41985a98cfde9c2b9da8a812af18515d34ce3d8e1c1b3d</x:v>
      </x:c>
      <x:c r="S86" s="149"/>
      <x:c r="T86" s="150"/>
    </x:row>
    <x:row r="87" ht="85" customHeight="1">
      <x:c r="A87" s="25" t="str">
        <x:v>coverage_prior_cost_sales</x:v>
      </x:c>
      <x:c r="B87" s="115" t="n">
        <x:v>4672000000</x:v>
      </x:c>
      <x:c r="C87" s="116" t="str">
        <x:v>prior cost_sales</x:v>
      </x:c>
      <x:c r="D87" s="82" t="d">
        <x:v>2025-01-01T00:00:00.000Z</x:v>
      </x:c>
      <x:c r="E87" s="82" t="d">
        <x:v>2025-06-30T00:00:00.000Z</x:v>
      </x:c>
      <x:c r="F87" s="116" t="str">
        <x:v>10-Q</x:v>
      </x:c>
      <x:c r="G87" s="82" t="d">
        <x:v>2026-08-05T00:00:00.000Z</x:v>
      </x:c>
      <x:c r="H87" s="116" t="str">
        <x:v>0000059478-26-000081</x:v>
      </x:c>
      <x:c r="I87" s="116" t="str">
        <x:v>us-gaap:CostOfGoodsAndServicesSold</x:v>
      </x:c>
      <x:c r="J87" s="116" t="str">
        <x:v>c-14</x:v>
      </x:c>
      <x:c r="K87" s="116" t="n">
        <x:v>6</x:v>
      </x:c>
      <x:c r="L87" s="116" t="str">
        <x:v>-6</x:v>
      </x:c>
      <x:c r="M87" s="116" t="str">
        <x:v>https://www.sec.gov/Archives/edgar/data/59478/000005947826000081/lly-20260630.htm</x:v>
      </x:c>
      <x:c r="N87" s="116" t="str">
        <x:v>Consolidated operations p. 5</x:v>
      </x:c>
      <x:c r="O87" s="116" t="str">
        <x:v>Inline XBRL</x:v>
      </x:c>
      <x:c r="P87" s="116" t="str">
        <x:v>[]</x:v>
      </x:c>
      <x:c r="Q87" s="116" t="str">
        <x:v>Exact tag, duration, USD and Lilly CIK; no dimensions; consolidated operations table only</x:v>
      </x:c>
      <x:c r="R87" s="16" t="str">
        <x:v>8e8f10cf3af98bc12a41985a98cfde9c2b9da8a812af18515d34ce3d8e1c1b3d</x:v>
      </x:c>
      <x:c r="S87" s="149"/>
      <x:c r="T87" s="150"/>
    </x:row>
    <x:row r="88" ht="85" customHeight="1">
      <x:c r="A88" s="25" t="str">
        <x:v>coverage_prior_rd</x:v>
      </x:c>
      <x:c r="B88" s="115" t="n">
        <x:v>6070000000</x:v>
      </x:c>
      <x:c r="C88" s="116" t="str">
        <x:v>prior rd</x:v>
      </x:c>
      <x:c r="D88" s="82" t="d">
        <x:v>2025-01-01T00:00:00.000Z</x:v>
      </x:c>
      <x:c r="E88" s="82" t="d">
        <x:v>2025-06-30T00:00:00.000Z</x:v>
      </x:c>
      <x:c r="F88" s="116" t="str">
        <x:v>10-Q</x:v>
      </x:c>
      <x:c r="G88" s="82" t="d">
        <x:v>2026-08-05T00:00:00.000Z</x:v>
      </x:c>
      <x:c r="H88" s="116" t="str">
        <x:v>0000059478-26-000081</x:v>
      </x:c>
      <x:c r="I88" s="116" t="str">
        <x:v>us-gaap:ResearchAndDevelopmentExpenseExcludingAcquiredInProcessCost</x:v>
      </x:c>
      <x:c r="J88" s="116" t="str">
        <x:v>c-14</x:v>
      </x:c>
      <x:c r="K88" s="116" t="n">
        <x:v>6</x:v>
      </x:c>
      <x:c r="L88" s="116" t="str">
        <x:v>-6</x:v>
      </x:c>
      <x:c r="M88" s="116" t="str">
        <x:v>https://www.sec.gov/Archives/edgar/data/59478/000005947826000081/lly-20260630.htm</x:v>
      </x:c>
      <x:c r="N88" s="116" t="str">
        <x:v>Consolidated operations p. 5</x:v>
      </x:c>
      <x:c r="O88" s="116" t="str">
        <x:v>Inline XBRL</x:v>
      </x:c>
      <x:c r="P88" s="116" t="str">
        <x:v>[]</x:v>
      </x:c>
      <x:c r="Q88" s="116" t="str">
        <x:v>Exact tag, duration, USD and Lilly CIK; no dimensions; consolidated operations table only</x:v>
      </x:c>
      <x:c r="R88" s="16" t="str">
        <x:v>8e8f10cf3af98bc12a41985a98cfde9c2b9da8a812af18515d34ce3d8e1c1b3d</x:v>
      </x:c>
      <x:c r="S88" s="149"/>
      <x:c r="T88" s="150"/>
    </x:row>
    <x:row r="89" ht="85" customHeight="1">
      <x:c r="A89" s="25" t="str">
        <x:v>coverage_prior_sga</x:v>
      </x:c>
      <x:c r="B89" s="115" t="n">
        <x:v>5221000000</x:v>
      </x:c>
      <x:c r="C89" s="116" t="str">
        <x:v>prior sga</x:v>
      </x:c>
      <x:c r="D89" s="82" t="d">
        <x:v>2025-01-01T00:00:00.000Z</x:v>
      </x:c>
      <x:c r="E89" s="82" t="d">
        <x:v>2025-06-30T00:00:00.000Z</x:v>
      </x:c>
      <x:c r="F89" s="116" t="str">
        <x:v>10-Q</x:v>
      </x:c>
      <x:c r="G89" s="82" t="d">
        <x:v>2026-08-05T00:00:00.000Z</x:v>
      </x:c>
      <x:c r="H89" s="116" t="str">
        <x:v>0000059478-26-000081</x:v>
      </x:c>
      <x:c r="I89" s="116" t="str">
        <x:v>us-gaap:SellingGeneralAndAdministrativeExpense</x:v>
      </x:c>
      <x:c r="J89" s="116" t="str">
        <x:v>c-14</x:v>
      </x:c>
      <x:c r="K89" s="116" t="n">
        <x:v>6</x:v>
      </x:c>
      <x:c r="L89" s="116" t="str">
        <x:v>-6</x:v>
      </x:c>
      <x:c r="M89" s="116" t="str">
        <x:v>https://www.sec.gov/Archives/edgar/data/59478/000005947826000081/lly-20260630.htm</x:v>
      </x:c>
      <x:c r="N89" s="116" t="str">
        <x:v>Consolidated operations p. 5</x:v>
      </x:c>
      <x:c r="O89" s="116" t="str">
        <x:v>Inline XBRL</x:v>
      </x:c>
      <x:c r="P89" s="116" t="str">
        <x:v>[]</x:v>
      </x:c>
      <x:c r="Q89" s="116" t="str">
        <x:v>Exact tag, duration, USD and Lilly CIK; no dimensions; consolidated operations table only</x:v>
      </x:c>
      <x:c r="R89" s="16" t="str">
        <x:v>8e8f10cf3af98bc12a41985a98cfde9c2b9da8a812af18515d34ce3d8e1c1b3d</x:v>
      </x:c>
      <x:c r="S89" s="149"/>
      <x:c r="T89" s="150"/>
    </x:row>
    <x:row r="90" ht="85" customHeight="1">
      <x:c r="A90" s="25" t="str">
        <x:v>coverage_prior_iprd</x:v>
      </x:c>
      <x:c r="B90" s="115" t="n">
        <x:v>1726000000</x:v>
      </x:c>
      <x:c r="C90" s="116" t="str">
        <x:v>prior iprd</x:v>
      </x:c>
      <x:c r="D90" s="82" t="d">
        <x:v>2025-01-01T00:00:00.000Z</x:v>
      </x:c>
      <x:c r="E90" s="82" t="d">
        <x:v>2025-06-30T00:00:00.000Z</x:v>
      </x:c>
      <x:c r="F90" s="116" t="str">
        <x:v>10-Q</x:v>
      </x:c>
      <x:c r="G90" s="82" t="d">
        <x:v>2026-08-05T00:00:00.000Z</x:v>
      </x:c>
      <x:c r="H90" s="116" t="str">
        <x:v>0000059478-26-000081</x:v>
      </x:c>
      <x:c r="I90" s="116" t="str">
        <x:v>us-gaap:ResearchAndDevelopmentAssetAcquiredOtherThanThroughBusinessCombinationWrittenOff</x:v>
      </x:c>
      <x:c r="J90" s="116" t="str">
        <x:v>c-14</x:v>
      </x:c>
      <x:c r="K90" s="116" t="n">
        <x:v>6</x:v>
      </x:c>
      <x:c r="L90" s="116" t="str">
        <x:v>-6</x:v>
      </x:c>
      <x:c r="M90" s="116" t="str">
        <x:v>https://www.sec.gov/Archives/edgar/data/59478/000005947826000081/lly-20260630.htm</x:v>
      </x:c>
      <x:c r="N90" s="116" t="str">
        <x:v>Consolidated operations p. 5</x:v>
      </x:c>
      <x:c r="O90" s="116" t="str">
        <x:v>Inline XBRL</x:v>
      </x:c>
      <x:c r="P90" s="116" t="str">
        <x:v>[]</x:v>
      </x:c>
      <x:c r="Q90" s="116" t="str">
        <x:v>Exact tag, duration, USD and Lilly CIK; no dimensions; consolidated operations table only</x:v>
      </x:c>
      <x:c r="R90" s="16" t="str">
        <x:v>8e8f10cf3af98bc12a41985a98cfde9c2b9da8a812af18515d34ce3d8e1c1b3d</x:v>
      </x:c>
      <x:c r="S90" s="149"/>
      <x:c r="T90" s="150"/>
    </x:row>
    <x:row r="91" ht="85" customHeight="1">
      <x:c r="A91" s="25" t="str">
        <x:v>coverage_prior_special</x:v>
      </x:c>
      <x:c r="B91" s="115" t="n">
        <x:v>35000000</x:v>
      </x:c>
      <x:c r="C91" s="116" t="str">
        <x:v>prior special</x:v>
      </x:c>
      <x:c r="D91" s="82" t="d">
        <x:v>2025-01-01T00:00:00.000Z</x:v>
      </x:c>
      <x:c r="E91" s="82" t="d">
        <x:v>2025-06-30T00:00:00.000Z</x:v>
      </x:c>
      <x:c r="F91" s="116" t="str">
        <x:v>10-Q</x:v>
      </x:c>
      <x:c r="G91" s="82" t="d">
        <x:v>2026-08-05T00:00:00.000Z</x:v>
      </x:c>
      <x:c r="H91" s="116" t="str">
        <x:v>0000059478-26-000081</x:v>
      </x:c>
      <x:c r="I91" s="116" t="str">
        <x:v>us-gaap:RestructuringSettlementAndImpairmentProvisions</x:v>
      </x:c>
      <x:c r="J91" s="116" t="str">
        <x:v>c-14</x:v>
      </x:c>
      <x:c r="K91" s="116" t="n">
        <x:v>6</x:v>
      </x:c>
      <x:c r="L91" s="116" t="str">
        <x:v>-6</x:v>
      </x:c>
      <x:c r="M91" s="116" t="str">
        <x:v>https://www.sec.gov/Archives/edgar/data/59478/000005947826000081/lly-20260630.htm</x:v>
      </x:c>
      <x:c r="N91" s="116" t="str">
        <x:v>Consolidated operations p. 5</x:v>
      </x:c>
      <x:c r="O91" s="116" t="str">
        <x:v>Inline XBRL</x:v>
      </x:c>
      <x:c r="P91" s="116" t="str">
        <x:v>[]</x:v>
      </x:c>
      <x:c r="Q91" s="116" t="str">
        <x:v>Exact tag, duration, USD and Lilly CIK; no dimensions; consolidated operations table only</x:v>
      </x:c>
      <x:c r="R91" s="16" t="str">
        <x:v>8e8f10cf3af98bc12a41985a98cfde9c2b9da8a812af18515d34ce3d8e1c1b3d</x:v>
      </x:c>
      <x:c r="S91" s="149"/>
      <x:c r="T91" s="150"/>
    </x:row>
    <x:row r="92" ht="85" customHeight="1">
      <x:c r="A92" s="25" t="str">
        <x:v>coverage_prior_other_income</x:v>
      </x:c>
      <x:c r="B92" s="115" t="n">
        <x:v>-329000000</x:v>
      </x:c>
      <x:c r="C92" s="116" t="str">
        <x:v>prior other_income</x:v>
      </x:c>
      <x:c r="D92" s="82" t="d">
        <x:v>2025-01-01T00:00:00.000Z</x:v>
      </x:c>
      <x:c r="E92" s="82" t="d">
        <x:v>2025-06-30T00:00:00.000Z</x:v>
      </x:c>
      <x:c r="F92" s="116" t="str">
        <x:v>10-Q</x:v>
      </x:c>
      <x:c r="G92" s="82" t="d">
        <x:v>2026-08-05T00:00:00.000Z</x:v>
      </x:c>
      <x:c r="H92" s="116" t="str">
        <x:v>0000059478-26-000081</x:v>
      </x:c>
      <x:c r="I92" s="116" t="str">
        <x:v>us-gaap:NonoperatingIncomeExpense</x:v>
      </x:c>
      <x:c r="J92" s="116" t="str">
        <x:v>c-14</x:v>
      </x:c>
      <x:c r="K92" s="116" t="n">
        <x:v>6</x:v>
      </x:c>
      <x:c r="L92" s="116" t="str">
        <x:v>-6</x:v>
      </x:c>
      <x:c r="M92" s="116" t="str">
        <x:v>https://www.sec.gov/Archives/edgar/data/59478/000005947826000081/lly-20260630.htm</x:v>
      </x:c>
      <x:c r="N92" s="116" t="str">
        <x:v>Consolidated operations p. 5</x:v>
      </x:c>
      <x:c r="O92" s="116" t="str">
        <x:v>Inline XBRL</x:v>
      </x:c>
      <x:c r="P92" s="116" t="str">
        <x:v>[]</x:v>
      </x:c>
      <x:c r="Q92" s="116" t="str">
        <x:v>Exact tag, duration, USD and Lilly CIK; no dimensions; consolidated operations table only</x:v>
      </x:c>
      <x:c r="R92" s="16" t="str">
        <x:v>8e8f10cf3af98bc12a41985a98cfde9c2b9da8a812af18515d34ce3d8e1c1b3d</x:v>
      </x:c>
      <x:c r="S92" s="149"/>
      <x:c r="T92" s="150"/>
    </x:row>
    <x:row r="93" ht="85" customHeight="1">
      <x:c r="A93" s="25" t="str">
        <x:v>coverage_prior_pretax</x:v>
      </x:c>
      <x:c r="B93" s="115" t="n">
        <x:v>10233000000</x:v>
      </x:c>
      <x:c r="C93" s="116" t="str">
        <x:v>prior pretax</x:v>
      </x:c>
      <x:c r="D93" s="82" t="d">
        <x:v>2025-01-01T00:00:00.000Z</x:v>
      </x:c>
      <x:c r="E93" s="82" t="d">
        <x:v>2025-06-30T00:00:00.000Z</x:v>
      </x:c>
      <x:c r="F93" s="116" t="str">
        <x:v>10-Q</x:v>
      </x:c>
      <x:c r="G93" s="82" t="d">
        <x:v>2026-08-05T00:00:00.000Z</x:v>
      </x:c>
      <x:c r="H93" s="116" t="str">
        <x:v>0000059478-26-000081</x:v>
      </x:c>
      <x:c r="I93" s="116" t="str">
        <x:v>us-gaap:IncomeLossFromContinuingOperationsBeforeIncomeTaxesExtraordinaryItemsNoncontrollingInterest</x:v>
      </x:c>
      <x:c r="J93" s="116" t="str">
        <x:v>c-14</x:v>
      </x:c>
      <x:c r="K93" s="116" t="n">
        <x:v>6</x:v>
      </x:c>
      <x:c r="L93" s="116" t="str">
        <x:v>-6</x:v>
      </x:c>
      <x:c r="M93" s="116" t="str">
        <x:v>https://www.sec.gov/Archives/edgar/data/59478/000005947826000081/lly-20260630.htm</x:v>
      </x:c>
      <x:c r="N93" s="116" t="str">
        <x:v>Consolidated operations p. 5</x:v>
      </x:c>
      <x:c r="O93" s="116" t="str">
        <x:v>Inline XBRL</x:v>
      </x:c>
      <x:c r="P93" s="116" t="str">
        <x:v>[]</x:v>
      </x:c>
      <x:c r="Q93" s="116" t="str">
        <x:v>Exact tag, duration, USD and Lilly CIK; no dimensions; consolidated operations table only</x:v>
      </x:c>
      <x:c r="R93" s="16" t="str">
        <x:v>8e8f10cf3af98bc12a41985a98cfde9c2b9da8a812af18515d34ce3d8e1c1b3d</x:v>
      </x:c>
      <x:c r="S93" s="149"/>
      <x:c r="T93" s="150"/>
    </x:row>
    <x:row r="94" ht="85" customHeight="1">
      <x:c r="A94" s="25" t="str">
        <x:v>coverage_prior_interest</x:v>
      </x:c>
      <x:c r="B94" s="115" t="n">
        <x:v>493000000</x:v>
      </x:c>
      <x:c r="C94" s="116" t="str">
        <x:v>prior interest</x:v>
      </x:c>
      <x:c r="D94" s="82" t="d">
        <x:v>2025-01-01T00:00:00.000Z</x:v>
      </x:c>
      <x:c r="E94" s="82" t="d">
        <x:v>2025-06-30T00:00:00.000Z</x:v>
      </x:c>
      <x:c r="F94" s="116" t="str">
        <x:v>10-Q</x:v>
      </x:c>
      <x:c r="G94" s="82" t="d">
        <x:v>2026-08-05T00:00:00.000Z</x:v>
      </x:c>
      <x:c r="H94" s="116" t="str">
        <x:v>0000059478-26-000081</x:v>
      </x:c>
      <x:c r="I94" s="116" t="str">
        <x:v>us-gaap:InterestExpenseNonoperating</x:v>
      </x:c>
      <x:c r="J94" s="116" t="str">
        <x:v>c-398</x:v>
      </x:c>
      <x:c r="K94" s="116" t="n">
        <x:v>6</x:v>
      </x:c>
      <x:c r="L94" s="116" t="str">
        <x:v>-6</x:v>
      </x:c>
      <x:c r="M94" s="116" t="str">
        <x:v>https://www.sec.gov/Archives/edgar/data/59478/000005947826000081/lly-20260630.htm</x:v>
      </x:c>
      <x:c r="N94" s="116" t="str">
        <x:v>Note 11 p. 23</x:v>
      </x:c>
      <x:c r="O94" s="116" t="str">
        <x:v>Inline XBRL</x:v>
      </x:c>
      <x:c r="P94" s="116" t="str">
        <x:v>[["us-gaap:StatementBusinessSegmentsAxis","lly:ReportableSegmentMember"]]</x:v>
      </x:c>
      <x:c r="Q94" s="116" t="str">
        <x:v>Exact tag, duration, USD and Lilly CIK; exact single-segment dimension</x:v>
      </x:c>
      <x:c r="R94" s="16" t="str">
        <x:v>8e8f10cf3af98bc12a41985a98cfde9c2b9da8a812af18515d34ce3d8e1c1b3d</x:v>
      </x:c>
      <x:c r="S94" s="149"/>
      <x:c r="T94" s="150"/>
    </x:row>
    <x:row r="95" ht="85" customHeight="1">
      <x:c r="A95" s="25" t="str">
        <x:v>may_notes_0</x:v>
      </x:c>
      <x:c r="B95" s="115" t="n">
        <x:v>750000000</x:v>
      </x:c>
      <x:c r="C95" s="116" t="str">
        <x:v>Floating 2028 — May 20 initial issue</x:v>
      </x:c>
      <x:c r="D95" s="82"/>
      <x:c r="E95" s="82" t="d">
        <x:v>2028-05-20T00:00:00.000Z</x:v>
      </x:c>
      <x:c r="F95" s="116" t="str">
        <x:v>8-K Ex. 4.4</x:v>
      </x:c>
      <x:c r="G95" s="82" t="d">
        <x:v>2026-05-20T00:00:00.000Z</x:v>
      </x:c>
      <x:c r="H95" s="116" t="str">
        <x:v>0001193125-26-232707</x:v>
      </x:c>
      <x:c r="I95" s="116"/>
      <x:c r="J95" s="116"/>
      <x:c r="K95" s="116"/>
      <x:c r="L95" s="116"/>
      <x:c r="M95" s="116" t="str">
        <x:v>https://www.sec.gov/Archives/edgar/data/59478/000119312526232707/d148580dex44.htm</x:v>
      </x:c>
      <x:c r="N95" s="116" t="str">
        <x:v>Certificate clauses (iii)–(v); note forms</x:v>
      </x:c>
      <x:c r="O95" s="116" t="str">
        <x:v>Reviewed contract text</x:v>
      </x:c>
      <x:c r="P95" s="116" t="str">
        <x:v>[]</x:v>
      </x:c>
      <x:c r="Q95" s="116"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49"/>
      <x:c r="T95" s="150" t="n">
        <x:v>0.0035</x:v>
      </x:c>
    </x:row>
    <x:row r="96" ht="85" customHeight="1">
      <x:c r="A96" s="25" t="str">
        <x:v>may_notes_1</x:v>
      </x:c>
      <x:c r="B96" s="115" t="n">
        <x:v>500000000</x:v>
      </x:c>
      <x:c r="C96" s="116" t="str">
        <x:v>Floating 2029 — May 20 initial issue</x:v>
      </x:c>
      <x:c r="D96" s="82"/>
      <x:c r="E96" s="82" t="d">
        <x:v>2029-05-20T00:00:00.000Z</x:v>
      </x:c>
      <x:c r="F96" s="116" t="str">
        <x:v>8-K Ex. 4.4</x:v>
      </x:c>
      <x:c r="G96" s="82" t="d">
        <x:v>2026-05-20T00:00:00.000Z</x:v>
      </x:c>
      <x:c r="H96" s="116" t="str">
        <x:v>0001193125-26-232707</x:v>
      </x:c>
      <x:c r="I96" s="116"/>
      <x:c r="J96" s="116"/>
      <x:c r="K96" s="116"/>
      <x:c r="L96" s="116"/>
      <x:c r="M96" s="116" t="str">
        <x:v>https://www.sec.gov/Archives/edgar/data/59478/000119312526232707/d148580dex44.htm</x:v>
      </x:c>
      <x:c r="N96" s="116" t="str">
        <x:v>Certificate clauses (iii)–(v); note forms</x:v>
      </x:c>
      <x:c r="O96" s="116" t="str">
        <x:v>Reviewed contract text</x:v>
      </x:c>
      <x:c r="P96" s="116" t="str">
        <x:v>[]</x:v>
      </x:c>
      <x:c r="Q96" s="116"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49"/>
      <x:c r="T96" s="150" t="n">
        <x:v>0.0046</x:v>
      </x:c>
    </x:row>
    <x:row r="97" ht="85" customHeight="1">
      <x:c r="A97" s="25" t="str">
        <x:v>may_notes_2</x:v>
      </x:c>
      <x:c r="B97" s="115" t="n">
        <x:v>750000000</x:v>
      </x:c>
      <x:c r="C97" s="116" t="str">
        <x:v>Fixed 2029 — May 20 initial issue</x:v>
      </x:c>
      <x:c r="D97" s="82"/>
      <x:c r="E97" s="82" t="d">
        <x:v>2029-05-20T00:00:00.000Z</x:v>
      </x:c>
      <x:c r="F97" s="116" t="str">
        <x:v>8-K Ex. 4.3</x:v>
      </x:c>
      <x:c r="G97" s="82" t="d">
        <x:v>2026-05-20T00:00:00.000Z</x:v>
      </x:c>
      <x:c r="H97" s="116" t="str">
        <x:v>0001193125-26-232707</x:v>
      </x:c>
      <x:c r="I97" s="116"/>
      <x:c r="J97" s="116"/>
      <x:c r="K97" s="116"/>
      <x:c r="L97" s="116"/>
      <x:c r="M97" s="116" t="str">
        <x:v>https://www.sec.gov/Archives/edgar/data/59478/000119312526232707/d148580dex43.htm</x:v>
      </x:c>
      <x:c r="N97" s="116" t="str">
        <x:v>Certificate clauses (iii)–(v); note forms</x:v>
      </x:c>
      <x:c r="O97" s="116" t="str">
        <x:v>Reviewed contract text</x:v>
      </x:c>
      <x:c r="P97" s="116" t="str">
        <x:v>[]</x:v>
      </x:c>
      <x:c r="Q97" s="116"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49" t="n">
        <x:v>0.0415</x:v>
      </x:c>
      <x:c r="T97" s="150"/>
    </x:row>
    <x:row r="98" ht="85" customHeight="1">
      <x:c r="A98" s="25" t="str">
        <x:v>may_notes_3</x:v>
      </x:c>
      <x:c r="B98" s="115" t="n">
        <x:v>1500000000</x:v>
      </x:c>
      <x:c r="C98" s="116" t="str">
        <x:v>Fixed 2031 — May 20 initial issue</x:v>
      </x:c>
      <x:c r="D98" s="82"/>
      <x:c r="E98" s="82" t="d">
        <x:v>2031-05-20T00:00:00.000Z</x:v>
      </x:c>
      <x:c r="F98" s="116" t="str">
        <x:v>8-K Ex. 4.3</x:v>
      </x:c>
      <x:c r="G98" s="82" t="d">
        <x:v>2026-05-20T00:00:00.000Z</x:v>
      </x:c>
      <x:c r="H98" s="116" t="str">
        <x:v>0001193125-26-232707</x:v>
      </x:c>
      <x:c r="I98" s="116"/>
      <x:c r="J98" s="116"/>
      <x:c r="K98" s="116"/>
      <x:c r="L98" s="116"/>
      <x:c r="M98" s="116" t="str">
        <x:v>https://www.sec.gov/Archives/edgar/data/59478/000119312526232707/d148580dex43.htm</x:v>
      </x:c>
      <x:c r="N98" s="116" t="str">
        <x:v>Certificate clauses (iii)–(v); note forms</x:v>
      </x:c>
      <x:c r="O98" s="116" t="str">
        <x:v>Reviewed contract text</x:v>
      </x:c>
      <x:c r="P98" s="116" t="str">
        <x:v>[]</x:v>
      </x:c>
      <x:c r="Q98" s="116"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49" t="n">
        <x:v>0.04375</x:v>
      </x:c>
      <x:c r="T98" s="150"/>
    </x:row>
    <x:row r="99" ht="85" customHeight="1">
      <x:c r="A99" s="25" t="str">
        <x:v>may_notes_4</x:v>
      </x:c>
      <x:c r="B99" s="115" t="n">
        <x:v>1250000000</x:v>
      </x:c>
      <x:c r="C99" s="116" t="str">
        <x:v>Fixed 2033 — May 20 initial issue</x:v>
      </x:c>
      <x:c r="D99" s="82"/>
      <x:c r="E99" s="82" t="d">
        <x:v>2033-05-20T00:00:00.000Z</x:v>
      </x:c>
      <x:c r="F99" s="116" t="str">
        <x:v>8-K Ex. 4.3</x:v>
      </x:c>
      <x:c r="G99" s="82" t="d">
        <x:v>2026-05-20T00:00:00.000Z</x:v>
      </x:c>
      <x:c r="H99" s="116" t="str">
        <x:v>0001193125-26-232707</x:v>
      </x:c>
      <x:c r="I99" s="116"/>
      <x:c r="J99" s="116"/>
      <x:c r="K99" s="116"/>
      <x:c r="L99" s="116"/>
      <x:c r="M99" s="116" t="str">
        <x:v>https://www.sec.gov/Archives/edgar/data/59478/000119312526232707/d148580dex43.htm</x:v>
      </x:c>
      <x:c r="N99" s="116" t="str">
        <x:v>Certificate clauses (iii)–(v); note forms</x:v>
      </x:c>
      <x:c r="O99" s="116" t="str">
        <x:v>Reviewed contract text</x:v>
      </x:c>
      <x:c r="P99" s="116" t="str">
        <x:v>[]</x:v>
      </x:c>
      <x:c r="Q99" s="116"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49" t="n">
        <x:v>0.0465</x:v>
      </x:c>
      <x:c r="T99" s="150"/>
    </x:row>
    <x:row r="100" ht="85" customHeight="1">
      <x:c r="A100" s="25" t="str">
        <x:v>may_notes_5</x:v>
      </x:c>
      <x:c r="B100" s="115" t="n">
        <x:v>1500000000</x:v>
      </x:c>
      <x:c r="C100" s="116" t="str">
        <x:v>Fixed 2036 — May 20 initial issue</x:v>
      </x:c>
      <x:c r="D100" s="82"/>
      <x:c r="E100" s="82" t="d">
        <x:v>2036-05-20T00:00:00.000Z</x:v>
      </x:c>
      <x:c r="F100" s="116" t="str">
        <x:v>8-K Ex. 4.3</x:v>
      </x:c>
      <x:c r="G100" s="82" t="d">
        <x:v>2026-05-20T00:00:00.000Z</x:v>
      </x:c>
      <x:c r="H100" s="116" t="str">
        <x:v>0001193125-26-232707</x:v>
      </x:c>
      <x:c r="I100" s="116"/>
      <x:c r="J100" s="116"/>
      <x:c r="K100" s="116"/>
      <x:c r="L100" s="116"/>
      <x:c r="M100" s="116" t="str">
        <x:v>https://www.sec.gov/Archives/edgar/data/59478/000119312526232707/d148580dex43.htm</x:v>
      </x:c>
      <x:c r="N100" s="116" t="str">
        <x:v>Certificate clauses (iii)–(v); note forms</x:v>
      </x:c>
      <x:c r="O100" s="116" t="str">
        <x:v>Reviewed contract text</x:v>
      </x:c>
      <x:c r="P100" s="116" t="str">
        <x:v>[]</x:v>
      </x:c>
      <x:c r="Q100" s="116"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49" t="n">
        <x:v>0.0485</x:v>
      </x:c>
      <x:c r="T100" s="150"/>
    </x:row>
    <x:row r="101" ht="85" customHeight="1">
      <x:c r="A101" s="25" t="str">
        <x:v>may_notes_6</x:v>
      </x:c>
      <x:c r="B101" s="115" t="n">
        <x:v>1750000000</x:v>
      </x:c>
      <x:c r="C101" s="116" t="str">
        <x:v>Fixed 2056 — May 20 initial issue</x:v>
      </x:c>
      <x:c r="D101" s="82"/>
      <x:c r="E101" s="82" t="d">
        <x:v>2056-05-20T00:00:00.000Z</x:v>
      </x:c>
      <x:c r="F101" s="116" t="str">
        <x:v>8-K Ex. 4.3</x:v>
      </x:c>
      <x:c r="G101" s="82" t="d">
        <x:v>2026-05-20T00:00:00.000Z</x:v>
      </x:c>
      <x:c r="H101" s="116" t="str">
        <x:v>0001193125-26-232707</x:v>
      </x:c>
      <x:c r="I101" s="116"/>
      <x:c r="J101" s="116"/>
      <x:c r="K101" s="116"/>
      <x:c r="L101" s="116"/>
      <x:c r="M101" s="116" t="str">
        <x:v>https://www.sec.gov/Archives/edgar/data/59478/000119312526232707/d148580dex43.htm</x:v>
      </x:c>
      <x:c r="N101" s="116" t="str">
        <x:v>Certificate clauses (iii)–(v); note forms</x:v>
      </x:c>
      <x:c r="O101" s="116" t="str">
        <x:v>Reviewed contract text</x:v>
      </x:c>
      <x:c r="P101" s="116" t="str">
        <x:v>[]</x:v>
      </x:c>
      <x:c r="Q101" s="116"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49" t="n">
        <x:v>0.056</x:v>
      </x:c>
      <x:c r="T101" s="150"/>
    </x:row>
    <x:row r="102" ht="85" customHeight="1">
      <x:c r="A102" s="25" t="str">
        <x:v>may_notes_7</x:v>
      </x:c>
      <x:c r="B102" s="115" t="n">
        <x:v>1000000000</x:v>
      </x:c>
      <x:c r="C102" s="116" t="str">
        <x:v>Fixed 2066 — May 20 initial issue</x:v>
      </x:c>
      <x:c r="D102" s="82"/>
      <x:c r="E102" s="82" t="d">
        <x:v>2066-05-20T00:00:00.000Z</x:v>
      </x:c>
      <x:c r="F102" s="116" t="str">
        <x:v>8-K Ex. 4.3</x:v>
      </x:c>
      <x:c r="G102" s="82" t="d">
        <x:v>2026-05-20T00:00:00.000Z</x:v>
      </x:c>
      <x:c r="H102" s="116" t="str">
        <x:v>0001193125-26-232707</x:v>
      </x:c>
      <x:c r="I102" s="116"/>
      <x:c r="J102" s="116"/>
      <x:c r="K102" s="116"/>
      <x:c r="L102" s="116"/>
      <x:c r="M102" s="116" t="str">
        <x:v>https://www.sec.gov/Archives/edgar/data/59478/000119312526232707/d148580dex43.htm</x:v>
      </x:c>
      <x:c r="N102" s="116" t="str">
        <x:v>Certificate clauses (iii)–(v); note forms</x:v>
      </x:c>
      <x:c r="O102" s="116" t="str">
        <x:v>Reviewed contract text</x:v>
      </x:c>
      <x:c r="P102" s="116" t="str">
        <x:v>[]</x:v>
      </x:c>
      <x:c r="Q102" s="116"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49" t="n">
        <x:v>0.057</x:v>
      </x:c>
      <x:c r="T102" s="150"/>
    </x:row>
    <x:row r="103" ht="85" customHeight="1">
      <x:c r="A103" s="26" t="str">
        <x:v>may_issue_control</x:v>
      </x:c>
      <x:c r="B103" s="117" t="n">
        <x:v>9000000000</x:v>
      </x:c>
      <x:c r="C103" s="118" t="str">
        <x:v>Reported completed May issue, initial principal</x:v>
      </x:c>
      <x:c r="D103" s="87"/>
      <x:c r="E103" s="87" t="d">
        <x:v>2026-05-20T00:00:00.000Z</x:v>
      </x:c>
      <x:c r="F103" s="118" t="str">
        <x:v>8-K</x:v>
      </x:c>
      <x:c r="G103" s="87" t="d">
        <x:v>2026-05-20T00:00:00.000Z</x:v>
      </x:c>
      <x:c r="H103" s="118" t="str">
        <x:v>0001193125-26-232707</x:v>
      </x:c>
      <x:c r="I103" s="118"/>
      <x:c r="J103" s="118"/>
      <x:c r="K103" s="118"/>
      <x:c r="L103" s="118"/>
      <x:c r="M103" s="118" t="str">
        <x:v>https://www.sec.gov/Archives/edgar/data/59478/000119312526232707/d148580d8k.htm</x:v>
      </x:c>
      <x:c r="N103" s="118" t="str">
        <x:v>Item 8.01, completed offering</x:v>
      </x:c>
      <x:c r="O103" s="118" t="str">
        <x:v>Reviewed filing text</x:v>
      </x:c>
      <x:c r="P103" s="118" t="str">
        <x:v>[]</x:v>
      </x:c>
      <x:c r="Q103" s="118" t="str">
        <x:v>Initial issue principal, not net cash proceeds, current outstanding debt or unused financing.</x:v>
      </x:c>
      <x:c r="R103" s="18" t="str">
        <x:v>e88aeee8cddfc4b3459ec97cd166010b955ae2d8e5bcc2e59913f995c2e233f9</x:v>
      </x:c>
      <x:c r="S103" s="151"/>
      <x:c r="T103" s="152"/>
    </x:row>
    <x:row r="106" ht="72" customHeight="1">
      <x:c r="A106" s="13" t="str">
        <x:v>Funding conclusion evidence</x:v>
      </x:c>
      <x:c r="B106" s="103" t="str">
        <x:v>Filing / filed date</x:v>
      </x:c>
      <x:c r="C106" s="103" t="str">
        <x:v>Accession</x:v>
      </x:c>
      <x:c r="D106" s="14" t="str">
        <x:v>Location</x:v>
      </x:c>
      <x:c r="L106" s="178" t="str">
        <x:v>SEC source</x:v>
      </x:c>
    </x:row>
    <x:row r="107" ht="72" customHeight="1">
      <x:c r="A107" s="25" t="str">
        <x:v>Near-term obligations</x:v>
      </x:c>
      <x:c r="B107" s="116" t="str">
        <x:v>10-Q filed Aug 5, 2026</x:v>
      </x:c>
      <x:c r="C107" s="116" t="str">
        <x:v>0000059478-26-000081</x:v>
      </x:c>
      <x:c r="D107" s="16" t="str">
        <x:v>pp. 7–8, 12–14, 17, 23, 31</x:v>
      </x:c>
      <x:c r="L107" s="173" t="str">
        <x:v>https://www.sec.gov/Archives/edgar/data/59478/000005947826000081/lly-20260630.htm</x:v>
      </x:c>
    </x:row>
    <x:row r="108" ht="72" customHeight="1">
      <x:c r="A108" s="25" t="str">
        <x:v>Resources and access</x:v>
      </x:c>
      <x:c r="B108" s="116" t="str">
        <x:v>10-Q filed Aug 5, 2026</x:v>
      </x:c>
      <x:c r="C108" s="116" t="str">
        <x:v>0000059478-26-000081</x:v>
      </x:c>
      <x:c r="D108" s="16" t="str">
        <x:v>pp. 7–8, 12–14, 17, 23, 31</x:v>
      </x:c>
      <x:c r="L108" s="173" t="str">
        <x:v>https://www.sec.gov/Archives/edgar/data/59478/000005947826000081/lly-20260630.htm</x:v>
      </x:c>
    </x:row>
    <x:row r="109" ht="72" customHeight="1">
      <x:c r="A109" s="25" t="str">
        <x:v>Resources and access</x:v>
      </x:c>
      <x:c r="B109" s="116" t="str">
        <x:v>10-K filed Feb 12, 2026</x:v>
      </x:c>
      <x:c r="C109" s="116" t="str">
        <x:v>0000059478-26-000013</x:v>
      </x:c>
      <x:c r="D109" s="16" t="str">
        <x:v>pp. 51, 57, 76–77</x:v>
      </x:c>
      <x:c r="L109" s="173" t="str">
        <x:v>https://www.sec.gov/Archives/edgar/data/59478/000005947826000013/lly-20251231.htm</x:v>
      </x:c>
    </x:row>
    <x:row r="110" ht="72" customHeight="1">
      <x:c r="A110" s="25" t="str">
        <x:v>Competing cash uses</x:v>
      </x:c>
      <x:c r="B110" s="116" t="str">
        <x:v>10-Q filed Aug 5, 2026</x:v>
      </x:c>
      <x:c r="C110" s="116" t="str">
        <x:v>0000059478-26-000081</x:v>
      </x:c>
      <x:c r="D110" s="16" t="str">
        <x:v>pp. 7–8, 12–14, 17, 23, 31</x:v>
      </x:c>
      <x:c r="L110" s="173" t="str">
        <x:v>https://www.sec.gov/Archives/edgar/data/59478/000005947826000081/lly-20260630.htm</x:v>
      </x:c>
    </x:row>
    <x:row r="111" ht="72" customHeight="1">
      <x:c r="A111" s="25" t="str">
        <x:v>Competing cash uses</x:v>
      </x:c>
      <x:c r="B111" s="116" t="str">
        <x:v>Earnings exhibit filed Aug 5, 2026</x:v>
      </x:c>
      <x:c r="C111" s="116" t="str">
        <x:v>0000059478-26-000077</x:v>
      </x:c>
      <x:c r="D111" s="16" t="str">
        <x:v>Other announcements</x:v>
      </x:c>
      <x:c r="L111" s="173" t="str">
        <x:v>https://www.sec.gov/Archives/edgar/data/59478/000005947826000077/q226lillysalesandearningsp.htm</x:v>
      </x:c>
    </x:row>
    <x:row r="112" ht="72" customHeight="1">
      <x:c r="A112" s="25" t="str">
        <x:v>Decisive unknowns</x:v>
      </x:c>
      <x:c r="B112" s="116" t="str">
        <x:v>10-Q filed Aug 5, 2026</x:v>
      </x:c>
      <x:c r="C112" s="116" t="str">
        <x:v>0000059478-26-000081</x:v>
      </x:c>
      <x:c r="D112" s="16" t="str">
        <x:v>pp. 7–8, 12–14, 17, 23, 31</x:v>
      </x:c>
      <x:c r="L112" s="173" t="str">
        <x:v>https://www.sec.gov/Archives/edgar/data/59478/000005947826000081/lly-20260630.htm</x:v>
      </x:c>
    </x:row>
    <x:row r="113" ht="72" customHeight="1">
      <x:c r="A113" s="25" t="str">
        <x:v>Decisive unknowns</x:v>
      </x:c>
      <x:c r="B113" s="116" t="str">
        <x:v>10-K filed Feb 12, 2026</x:v>
      </x:c>
      <x:c r="C113" s="116" t="str">
        <x:v>0000059478-26-000013</x:v>
      </x:c>
      <x:c r="D113" s="16" t="str">
        <x:v>pp. 51, 57, 76–77</x:v>
      </x:c>
      <x:c r="L113" s="173" t="str">
        <x:v>https://www.sec.gov/Archives/edgar/data/59478/000005947826000013/lly-20251231.htm</x:v>
      </x:c>
    </x:row>
    <x:row r="114" ht="72" customHeight="1">
      <x:c r="A114" s="25" t="str">
        <x:v>Decisive unknowns</x:v>
      </x:c>
      <x:c r="B114" s="116" t="str">
        <x:v>Earnings exhibit filed Aug 5, 2026</x:v>
      </x:c>
      <x:c r="C114" s="116" t="str">
        <x:v>0000059478-26-000077</x:v>
      </x:c>
      <x:c r="D114" s="16" t="str">
        <x:v>Other announcements</x:v>
      </x:c>
      <x:c r="L114" s="173" t="str">
        <x:v>https://www.sec.gov/Archives/edgar/data/59478/000005947826000077/q226lillysalesandearningsp.htm</x:v>
      </x:c>
    </x:row>
    <x:row r="115" ht="72" customHeight="1">
      <x:c r="A115" s="25" t="str">
        <x:v>Historical coverage</x:v>
      </x:c>
      <x:c r="B115" s="116" t="str">
        <x:v>10-Q filed Aug 5, 2026</x:v>
      </x:c>
      <x:c r="C115" s="116" t="str">
        <x:v>0000059478-26-000081</x:v>
      </x:c>
      <x:c r="D115" s="16" t="str">
        <x:v>pp. 7–8, 12–14, 17, 23, 31</x:v>
      </x:c>
      <x:c r="L115" s="173" t="str">
        <x:v>https://www.sec.gov/Archives/edgar/data/59478/000005947826000081/lly-20260630.htm</x:v>
      </x:c>
    </x:row>
    <x:row r="116" ht="72" customHeight="1">
      <x:c r="A116" s="26" t="str">
        <x:v>Historical coverage</x:v>
      </x:c>
      <x:c r="B116" s="118" t="str">
        <x:v>10-K filed Feb 12, 2026</x:v>
      </x:c>
      <x:c r="C116" s="118" t="str">
        <x:v>0000059478-26-000013</x:v>
      </x:c>
      <x:c r="D116" s="18" t="str">
        <x:v>pp. 51, 57, 76–77</x:v>
      </x:c>
      <x:c r="L116" s="174" t="str">
        <x:v>https://www.sec.gov/Archives/edgar/data/59478/000005947826000013/lly-20251231.htm</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103" t="str">
        <x:v>Explanation</x:v>
      </x:c>
      <x:c r="C1" s="14" t="str">
        <x:v>Source</x:v>
      </x:c>
    </x:row>
    <x:row r="2" ht="70" customHeight="1">
      <x:c r="A2" s="25" t="str">
        <x:v>Scope</x:v>
      </x:c>
      <x:c r="B2" s="116" t="str">
        <x:v>Lilly only. Checked snapshot October 14, 2026. Financial statements dated June 30, 2026. Not investment advice.</x:v>
      </x:c>
      <x:c r="C2" s="16" t="str">
        <x:v>https://www.sec.gov/Archives/edgar/data/59478/000005947826000081/lly-20260630.htm</x:v>
      </x:c>
    </x:row>
    <x:row r="3" ht="70" customHeight="1">
      <x:c r="A3" s="25" t="str">
        <x:v>Colors</x:v>
      </x:c>
      <x:c r="B3" s="116" t="str">
        <x:v>Arial 10. Full USD displayed in millions. Blue reported inputs, green cross-sheet links, black same-sheet calculations. Zero is a dash. Missing inputs are not zero.</x:v>
      </x:c>
      <x:c r="C3" s="16"/>
    </x:row>
    <x:row r="4" ht="70" customHeight="1">
      <x:c r="A4" s="25" t="str">
        <x:v>Cash generation</x:v>
      </x:c>
      <x:c r="B4" s="116" t="str">
        <x:v>Fiscal year + current YTD − prior YTD. Capital spending uses Lilly’s checked other-PP&amp;E tag. FCF excludes acquisitions, dividends and other cash uses.</x:v>
      </x:c>
      <x:c r="C4" s="16" t="str">
        <x:v>docs/pilot_cashflow_reconciliation.md</x:v>
      </x:c>
    </x:row>
    <x:row r="5" ht="70" customHeight="1">
      <x:c r="A5" s="25" t="str">
        <x:v>Borrowing</x:v>
      </x:c>
      <x:c r="B5" s="116" t="str">
        <x:v>Balance-sheet current and noncurrent borrowing are added once. Fair-value table carrying amounts are not added again.</x:v>
      </x:c>
      <x:c r="C5" s="16" t="str">
        <x:v>docs/pilot_evidence_lly.md</x:v>
      </x:c>
    </x:row>
    <x:row r="6" ht="70" customHeight="1">
      <x:c r="A6" s="26" t="str">
        <x:v>Selected commitments</x:v>
      </x:c>
      <x:c r="B6" s="118"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16" t="str">
        <x:v>Repayment review uses exact H1 cash flows and historical annual carrying-debt buckets. Future coverage remains Unavailable. Text disclosures are identified separately; source hashes and dimensions are in Data.</x:v>
      </x:c>
      <x:c r="C7" s="16" t="str">
        <x:v>docs/lly_liquidity_review.md</x:v>
      </x:c>
    </x:row>
    <x:row r="8" ht="95" customHeight="1">
      <x:c r="A8" s="26" t="str">
        <x:v>Post-quarter events</x:v>
      </x:c>
      <x:c r="B8" s="118"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16"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18" t="str">
        <x:v>Series rates and maturities come from the final prospectus and certificates, corroborated by the completed offering. An 8-K coupon conflict is flagged; the corroborated 2029 fixed rate is 4.150%.</x:v>
      </x:c>
      <x:c r="C10" s="18" t="str">
        <x:v>docs/lly_financing_audit.md</x:v>
      </x:c>
    </x:row>
    <x:row r="11" ht="100" customHeight="1">
      <x:c r="A11" s="25" t="str">
        <x:v>Historical interest coverage</x:v>
      </x:c>
      <x:c r="B11" s="116" t="str">
        <x:v>Derived TTM operating income / reported interest expense. FY + current H1 − prior H1; each operating-income period reconciles to pretax less tagged nonoperating income (expense).</x:v>
      </x:c>
      <x:c r="C11" s="16" t="str">
        <x:v>docs/lly_interest_coverage.md</x:v>
      </x:c>
    </x:row>
    <x:row r="12" ht="100" customHeight="1">
      <x:c r="A12" s="26" t="str">
        <x:v>Capitalization basis</x:v>
      </x:c>
      <x:c r="B12" s="11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sheetData>
  <x:pageMargins left="0.7" right="0.7" top="0.75" bottom="0.75" header="0.3" footer="0.3"/>
</x:worksheet>
</file>