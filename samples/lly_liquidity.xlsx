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0b6151bb387424c" /></Relationships>
</file>

<file path=xl/workbook.xml><?xml version="1.0" encoding="utf-8"?>
<x:workbook xmlns:x="http://schemas.openxmlformats.org/spreadsheetml/2006/main">
  <x:sheets>
    <x:sheet xmlns:r="http://schemas.openxmlformats.org/officeDocument/2006/relationships" name="Funding conclusion" sheetId="1" r:id="R545cd74760084c87"/>
    <x:sheet xmlns:r="http://schemas.openxmlformats.org/officeDocument/2006/relationships" name="Borrowing and leases" sheetId="2" r:id="R238cedd23ec247d5"/>
    <x:sheet xmlns:r="http://schemas.openxmlformats.org/officeDocument/2006/relationships" name="Debt and liquidity" sheetId="3" r:id="Rd81cc1e44b5f4b44"/>
    <x:sheet xmlns:r="http://schemas.openxmlformats.org/officeDocument/2006/relationships" name="History" sheetId="4" r:id="R36028c37b97841dc"/>
    <x:sheet xmlns:r="http://schemas.openxmlformats.org/officeDocument/2006/relationships" name="Core charts" sheetId="5" r:id="Ra3a09e8001d84070"/>
    <x:sheet xmlns:r="http://schemas.openxmlformats.org/officeDocument/2006/relationships" name="Repayment review" sheetId="6" r:id="Rf3d8710805a74af5"/>
    <x:sheet xmlns:r="http://schemas.openxmlformats.org/officeDocument/2006/relationships" name="Data" sheetId="7" r:id="R1a331d15f7f4430c"/>
    <x:sheet xmlns:r="http://schemas.openxmlformats.org/officeDocument/2006/relationships" name="About" sheetId="8" r:id="R32f8516f62b34357"/>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7614ae7dfa24de8" /><Relationship Type="http://schemas.openxmlformats.org/officeDocument/2006/relationships/theme" Target="/xl/theme/theme1.xml" Id="R3561c8e4fef64b8d" /><Relationship Type="http://schemas.openxmlformats.org/officeDocument/2006/relationships/sharedStrings" Target="/xl/sharedStrings.xml" Id="Rb78ceec8b0eb4e5e" /><Relationship Type="http://schemas.openxmlformats.org/officeDocument/2006/relationships/worksheet" Target="/xl/worksheets/sheet1.xml" Id="R545cd74760084c87" /><Relationship Type="http://schemas.openxmlformats.org/officeDocument/2006/relationships/worksheet" Target="/xl/worksheets/sheet2.xml" Id="R238cedd23ec247d5" /><Relationship Type="http://schemas.openxmlformats.org/officeDocument/2006/relationships/worksheet" Target="/xl/worksheets/sheet3.xml" Id="Rd81cc1e44b5f4b44" /><Relationship Type="http://schemas.openxmlformats.org/officeDocument/2006/relationships/worksheet" Target="/xl/worksheets/sheet4.xml" Id="R36028c37b97841dc" /><Relationship Type="http://schemas.openxmlformats.org/officeDocument/2006/relationships/worksheet" Target="/xl/worksheets/sheet5.xml" Id="Ra3a09e8001d84070" /><Relationship Type="http://schemas.openxmlformats.org/officeDocument/2006/relationships/worksheet" Target="/xl/worksheets/sheet6.xml" Id="Rf3d8710805a74af5" /><Relationship Type="http://schemas.openxmlformats.org/officeDocument/2006/relationships/worksheet" Target="/xl/worksheets/sheet7.xml" Id="R1a331d15f7f4430c" /><Relationship Type="http://schemas.openxmlformats.org/officeDocument/2006/relationships/worksheet" Target="/xl/worksheets/sheet8.xml" Id="R32f8516f62b3435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ebdb1b61a44431d" /><Relationship Type="http://schemas.openxmlformats.org/officeDocument/2006/relationships/chart" Target="/xl/drawings/charts/chart2.xml" Id="R5d1e072ed27a4814" /></Relationships>
</file>

<file path=xl/drawings/_rels/drawing2.xml.rels>&#65279;<?xml version="1.0" encoding="utf-8"?><Relationships xmlns="http://schemas.openxmlformats.org/package/2006/relationships"><Relationship Type="http://schemas.openxmlformats.org/officeDocument/2006/relationships/chart" Target="/xl/drawings/charts/chart3.xml" Id="Rb8fd9f5b2b7b470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ebdb1b61a44431d"/>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1e072ed27a4814"/>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fd9f5b2b7b470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89ff47f5e478437c" /></Relationships>
</file>

<file path=xl/worksheets/_rels/sheet6.xml.rels>&#65279;<?xml version="1.0" encoding="utf-8"?><Relationships xmlns="http://schemas.openxmlformats.org/package/2006/relationships"><Relationship Type="http://schemas.openxmlformats.org/officeDocument/2006/relationships/drawing" Target="/xl/drawings/drawing2.xml" Id="R79db98eea22941d4"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96" t="str">
        <x:v>USD millions</x:v>
      </x:c>
      <x:c r="C5" s="96" t="str">
        <x:v>As of</x:v>
      </x:c>
      <x:c r="D5" s="96" t="str">
        <x:v>Source / filing</x:v>
      </x:c>
      <x:c r="E5" s="14" t="str">
        <x:v>Basis</x:v>
      </x:c>
    </x:row>
    <x:row r="6" ht="42" customHeight="1">
      <x:c r="A6" s="25" t="str">
        <x:v>Current borrowing</x:v>
      </x:c>
      <x:c r="B6" s="125" t="n">
        <x:f>IF(ISNUMBER('Data'!B120),'Data'!B120,NA())</x:f>
        <x:v>7050000000</x:v>
      </x:c>
      <x:c r="C6" s="76" t="d">
        <x:v>2026-06-30T00:00:00.000Z</x:v>
      </x:c>
      <x:c r="D6" s="107" t="str">
        <x:v>10-Q balance sheet, p. 7; filed 2026-08-05</x:v>
      </x:c>
      <x:c r="E6" s="16" t="str">
        <x:v>Short-term borrowings and current maturities of long-term debt</x:v>
      </x:c>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row>
    <x:row r="9" ht="12" customHeight="1">
      <x:c r="A9" s="4"/>
      <x:c r="B9" s="55"/>
      <x:c r="C9" s="56"/>
      <x:c r="D9" s="4"/>
      <x:c r="E9" s="4"/>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row>
    <x:row r="11" ht="12" customHeight="1">
      <x:c r="A11" s="4"/>
      <x:c r="B11" s="55"/>
      <x:c r="C11" s="56"/>
      <x:c r="D11" s="4"/>
      <x:c r="E11" s="4"/>
    </x:row>
    <x:row r="12" ht="12" customHeight="1">
      <x:c r="A12" s="4"/>
      <x:c r="B12" s="55"/>
      <x:c r="C12" s="56"/>
      <x:c r="D12" s="4"/>
      <x:c r="E12" s="4"/>
    </x:row>
    <x:row r="13" ht="28" customHeight="1">
      <x:c r="A13" s="13" t="str">
        <x:v>Lease liability / commitment</x:v>
      </x:c>
      <x:c r="B13" s="128" t="str">
        <x:v>USD millions</x:v>
      </x:c>
      <x:c r="C13" s="185" t="str">
        <x:v>As of</x:v>
      </x:c>
      <x:c r="D13" s="96" t="str">
        <x:v>Source / filing</x:v>
      </x:c>
      <x:c r="E13" s="14" t="str">
        <x:v>Basis / Unavailable reason</x:v>
      </x:c>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row>
    <x:row r="19" ht="12" customHeight="1">
      <x:c r="A19" s="4"/>
      <x:c r="B19" s="55"/>
      <x:c r="C19" s="56"/>
      <x:c r="D19" s="4"/>
      <x:c r="E19" s="4"/>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Eli Lilly and Company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96" t="str">
        <x:v>As of / FY ended 2025-12-31</x:v>
      </x:c>
      <x:c r="C5" s="96" t="str">
        <x:v>As of / TTM ended 2026-06-30</x:v>
      </x:c>
      <x:c r="D5" s="14" t="str">
        <x:v>Basis / limits</x:v>
      </x:c>
    </x:row>
    <x:row r="6" ht="45" customHeight="1">
      <x:c r="A6" s="25" t="str">
        <x:v>Cash and cash equivalents</x:v>
      </x:c>
      <x:c r="B6" s="125" t="n">
        <x:f>IF(ISNUMBER('Data'!B130),'Data'!B130,NA())</x:f>
        <x:v>7268000000</x:v>
      </x:c>
      <x:c r="C6" s="125" t="n">
        <x:f>'Debt and liquidity'!B6</x:f>
        <x:v>8950000000</x:v>
      </x:c>
      <x:c r="D6" s="16" t="str">
        <x:v>Cash and cash equivalents excluding restricted cash. Investments are not substituted.</x:v>
      </x:c>
    </x:row>
    <x:row r="7" ht="62" customHeight="1">
      <x:c r="A7" s="25" t="str">
        <x:v>Baseline gross debt</x:v>
      </x:c>
      <x:c r="B7" s="125" t="n">
        <x:f>IF(ISNUMBER('Data'!B133),'Data'!B133,NA())+IF(ISNUMBER('Data'!B134),'Data'!B134,NA())</x:f>
        <x:v>42503000000</x:v>
      </x:c>
      <x:c r="C7" s="125" t="n">
        <x:f>'Debt and liquidity'!B7</x:f>
        <x:v>54908000000</x:v>
      </x:c>
      <x:c r="D7" s="16"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45" customHeight="1">
      <x:c r="A8" s="25" t="str">
        <x:v>Net debt</x:v>
      </x:c>
      <x:c r="B8" s="186" t="n">
        <x:f>B7-B6</x:f>
        <x:v>35235000000</x:v>
      </x:c>
      <x:c r="C8" s="125" t="n">
        <x:f>'Debt and liquidity'!B8</x:f>
        <x:v>45958000000</x:v>
      </x:c>
      <x:c r="D8" s="16" t="str">
        <x:v>Baseline borrowing less cash excluding restricted cash. Same date and filing. Negative net debt is retained.</x:v>
      </x:c>
    </x:row>
    <x:row r="9" ht="49" customHeight="1">
      <x:c r="A9" s="25" t="str">
        <x:v>Current ratio</x:v>
      </x:c>
      <x:c r="B9" s="162" t="n">
        <x:f>IF(IF(ISNUMBER('Data'!B132),'Data'!B132,NA())&gt;0,IF(ISNUMBER('Data'!B131),'Data'!B131,NA())/IF(ISNUMBER('Data'!B132),'Data'!B132,NA()),NA())</x:f>
        <x:v>1.5791132054047916</x:v>
      </x:c>
      <x:c r="C9" s="162" t="n">
        <x:f>'Debt and liquidity'!B9</x:f>
        <x:v>1.3546427598919168</x:v>
      </x:c>
      <x:c r="D9" s="16" t="str">
        <x:v>Total current assets / total current liabilities from one balance sheet. Liabilities include more than borrowing; assets include more than cash.</x:v>
      </x:c>
    </x:row>
    <x:row r="10" ht="45" customHeight="1">
      <x:c r="A10" s="25" t="str">
        <x:v>Operating cash flow</x:v>
      </x:c>
      <x:c r="B10" s="125" t="n">
        <x:f>IF(ISNUMBER('Data'!B135),'Data'!B135,NA())</x:f>
        <x:v>16813000000</x:v>
      </x:c>
      <x:c r="C10" s="125" t="n">
        <x:f>'Debt and liquidity'!B10</x:f>
        <x:v>28083000000</x:v>
      </x:c>
      <x:c r="D10" s="16" t="str">
        <x:v>Reported historical OCF; recurrence is not established. Uses FY + current YTD - prior YTD.</x:v>
      </x:c>
    </x:row>
    <x:row r="11" ht="45" customHeight="1">
      <x:c r="A11" s="25" t="str">
        <x:v>Purchases of property and equipment</x:v>
      </x:c>
      <x:c r="B11" s="125" t="n">
        <x:f>IF(ISNUMBER('Data'!B136),'Data'!B136,NA())</x:f>
        <x:v>7841000000</x:v>
      </x:c>
      <x:c r="C11" s="125" t="n">
        <x:f>'Debt and liquidity'!B11</x:f>
        <x:v>9893000000</x:v>
      </x:c>
      <x:c r="D11" s="16" t="str">
        <x:v>Reported purchases of property and equipment; excludes acquisitions and other investing cash flows.</x:v>
      </x:c>
    </x:row>
    <x:row r="12" ht="45" customHeight="1">
      <x:c r="A12" s="25" t="str">
        <x:v>Free cash flow</x:v>
      </x:c>
      <x:c r="B12" s="186" t="n">
        <x:f>B10-B11</x:f>
        <x:v>8972000000</x:v>
      </x:c>
      <x:c r="C12" s="125" t="n">
        <x:f>'Debt and liquidity'!B12</x:f>
        <x:v>18190000000</x:v>
      </x:c>
      <x:c r="D12" s="16" t="str">
        <x:v>OCF less reported capital spending. Uses the spending basis above; excludes acquisitions, dividends and other cash uses.</x:v>
      </x:c>
    </x:row>
    <x:row r="13" ht="45" customHeight="1">
      <x:c r="A13" s="25" t="str">
        <x:v>Operating cash flow / debt</x:v>
      </x:c>
      <x:c r="B13" s="163" t="n">
        <x:f>IF(B7&gt;0,B10/B7,NA())</x:f>
        <x:v>0.3955720772651342</x:v>
      </x:c>
      <x:c r="C13" s="216" t="n">
        <x:f>'Debt and liquidity'!B13</x:f>
        <x:v>0.511455525606469</x:v>
      </x:c>
      <x:c r="D13" s="16" t="str">
        <x:v>Twelve-month OCF / borrowing at each period end. Prior column uses the fiscal year; later column uses TTM. Not repayment coverage.</x:v>
      </x:c>
    </x:row>
    <x:row r="14" ht="45" customHeight="1">
      <x:c r="A14" s="25" t="str">
        <x:v>Free cash flow / debt</x:v>
      </x:c>
      <x:c r="B14" s="163" t="n">
        <x:f>IF(B7&gt;0,B12/B7,NA())</x:f>
        <x:v>0.2110909818130485</x:v>
      </x:c>
      <x:c r="C14" s="216" t="n">
        <x:f>'Debt and liquidity'!B14</x:f>
        <x:v>0.33128141618707657</x:v>
      </x:c>
      <x:c r="D14" s="16" t="str">
        <x:v>Twelve-month FCF / borrowing at each period end. Prior column uses the fiscal year; later column uses TTM. Not repayment coverage.</x:v>
      </x:c>
    </x:row>
    <x:row r="15" ht="88" customHeight="1">
      <x:c r="A15" s="26" t="str">
        <x:v>Historical interest coverage</x:v>
      </x:c>
      <x:c r="B15" s="217" t="n">
        <x:f>IF(AND('Debt and liquidity'!B46&gt;0,'Debt and liquidity'!B44=0),'Debt and liquidity'!B40/'Debt and liquidity'!B46,NA())</x:f>
        <x:v>29.387709497206703</x:v>
      </x:c>
      <x:c r="C15" s="217" t="n">
        <x:f>'Debt and liquidity'!B15</x:f>
        <x:v>31.17052826691381</x:v>
      </x:c>
      <x:c r="D15" s="1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LLY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144" t="n">
        <x:f>'Debt and liquidity'!B10</x:f>
        <x:v>28083000000</x:v>
      </x:c>
      <x:c r="C6" s="4"/>
      <x:c r="D6" s="4"/>
      <x:c r="E6" s="2"/>
      <x:c r="F6" s="2"/>
      <x:c r="G6" s="2"/>
      <x:c r="H6" s="2"/>
      <x:c r="I6" s="2"/>
      <x:c r="J6" s="2"/>
      <x:c r="K6" s="2"/>
      <x:c r="L6" s="2"/>
      <x:c r="M6" s="2"/>
      <x:c r="N6" s="2"/>
      <x:c r="O6" s="2"/>
    </x:row>
    <x:row r="7" ht="35" customHeight="1">
      <x:c r="A7" s="25" t="str">
        <x:v>Capital spending</x:v>
      </x:c>
      <x:c r="B7" s="144" t="n">
        <x:f>-'Debt and liquidity'!B11</x:f>
        <x:v>-9893000000</x:v>
      </x:c>
      <x:c r="C7" s="4"/>
      <x:c r="D7" s="4"/>
      <x:c r="E7" s="2"/>
      <x:c r="F7" s="2"/>
      <x:c r="G7" s="2"/>
      <x:c r="H7" s="2"/>
      <x:c r="I7" s="2"/>
      <x:c r="J7" s="2"/>
      <x:c r="K7" s="2"/>
      <x:c r="L7" s="2"/>
      <x:c r="M7" s="2"/>
      <x:c r="N7" s="2"/>
      <x:c r="O7" s="2"/>
    </x:row>
    <x:row r="8" ht="35" customHeight="1">
      <x:c r="A8" s="26" t="str">
        <x:v>Free cash flow</x:v>
      </x:c>
      <x:c r="B8" s="221" t="n">
        <x:f>'Debt and liquidity'!B12</x:f>
        <x:v>18190000000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96" t="str">
        <x:v>Cash and equivalents</x:v>
      </x:c>
      <x:c r="C24" s="14" t="str">
        <x:v>Baseline borrowing</x:v>
      </x:c>
      <x:c r="D24" s="4"/>
      <x:c r="E24" s="2"/>
      <x:c r="F24" s="2"/>
      <x:c r="G24" s="2"/>
      <x:c r="H24" s="2"/>
      <x:c r="I24" s="2"/>
      <x:c r="J24" s="2"/>
      <x:c r="K24" s="2"/>
      <x:c r="L24" s="2"/>
      <x:c r="M24" s="2"/>
      <x:c r="N24" s="2"/>
      <x:c r="O24" s="2"/>
    </x:row>
    <x:row r="25" ht="35" customHeight="1">
      <x:c r="A25" s="25" t="str">
        <x:v>2025-12-31</x:v>
      </x:c>
      <x:c r="B25" s="125" t="n">
        <x:f>'History'!B6</x:f>
        <x:v>7268000000</x:v>
      </x:c>
      <x:c r="C25" s="144" t="n">
        <x:f>'History'!B7</x:f>
        <x:v>42503000000</x:v>
      </x:c>
      <x:c r="D25" s="4"/>
      <x:c r="E25" s="2"/>
      <x:c r="F25" s="2"/>
      <x:c r="G25" s="2"/>
      <x:c r="H25" s="2"/>
      <x:c r="I25" s="2"/>
      <x:c r="J25" s="2"/>
      <x:c r="K25" s="2"/>
      <x:c r="L25" s="2"/>
      <x:c r="M25" s="2"/>
      <x:c r="N25" s="2"/>
      <x:c r="O25" s="2"/>
    </x:row>
    <x:row r="26" ht="35" customHeight="1">
      <x:c r="A26" s="26" t="str">
        <x:v>2026-06-30</x:v>
      </x:c>
      <x:c r="B26" s="129" t="n">
        <x:f>'History'!C6</x:f>
        <x:v>8950000000</x:v>
      </x:c>
      <x:c r="C26" s="221" t="n">
        <x:f>'History'!C7</x:f>
        <x:v>54908000000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35" customHeight="1">
      <x:c r="A41" s="4"/>
      <x:c r="B41" s="4"/>
      <x:c r="C41" s="4"/>
      <x:c r="D41" s="4"/>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89ff47f5e478437c"/>
</x:worksheet>
</file>

<file path=xl/worksheets/sheet6.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79db98eea22941d4"/>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x:v>
      </x:c>
      <x:c r="Q103" s="109" t="str">
        <x:v>Initial issue principal, not net cash proceeds, current outstanding debt or unused financing.</x:v>
      </x:c>
      <x:c r="R103" s="18" t="str">
        <x:v>e88aeee8cddfc4b3459ec97cd166010b955ae2d8e5bcc2e59913f995c2e233f9</x:v>
      </x:c>
      <x:c r="S103" s="140"/>
      <x:c r="T103" s="141"/>
    </x:row>
    <x:row r="106" ht="72" customHeight="1">
      <x:c r="A106" s="13" t="str">
        <x:v>Funding conclusion evidence</x:v>
      </x:c>
      <x:c r="B106" s="96" t="str">
        <x:v>Filing / filed date</x:v>
      </x:c>
      <x:c r="C106" s="96" t="str">
        <x:v>Accession</x:v>
      </x:c>
      <x:c r="D106" s="14" t="str">
        <x:v>Location</x:v>
      </x:c>
      <x:c r="L106" s="174" t="str">
        <x:v>SEC source</x:v>
      </x:c>
    </x:row>
    <x:row r="107" ht="72" customHeight="1">
      <x:c r="A107" s="25" t="str">
        <x:v>Near-term obligations</x:v>
      </x:c>
      <x:c r="B107" s="107" t="str">
        <x:v>10-Q filed Aug 5, 2026</x:v>
      </x:c>
      <x:c r="C107" s="107" t="str">
        <x:v>0000059478-26-000081</x:v>
      </x:c>
      <x:c r="D107" s="16" t="str">
        <x:v>pp. 7–8, 12–14, 17, 23, 31</x:v>
      </x:c>
      <x:c r="L107" s="169" t="str">
        <x:v>https://www.sec.gov/Archives/edgar/data/59478/000005947826000081/lly-20260630.htm</x:v>
      </x:c>
    </x:row>
    <x:row r="108" ht="72" customHeight="1">
      <x:c r="A108" s="25" t="str">
        <x:v>Resources and access</x:v>
      </x:c>
      <x:c r="B108" s="107" t="str">
        <x:v>10-Q filed Aug 5, 2026</x:v>
      </x:c>
      <x:c r="C108" s="107" t="str">
        <x:v>0000059478-26-000081</x:v>
      </x:c>
      <x:c r="D108" s="16" t="str">
        <x:v>pp. 7–8, 12–14, 17, 23, 31</x:v>
      </x:c>
      <x:c r="L108" s="169" t="str">
        <x:v>https://www.sec.gov/Archives/edgar/data/59478/000005947826000081/lly-20260630.htm</x:v>
      </x:c>
    </x:row>
    <x:row r="109" ht="72" customHeight="1">
      <x:c r="A109" s="25" t="str">
        <x:v>Resources and access</x:v>
      </x:c>
      <x:c r="B109" s="107" t="str">
        <x:v>10-K filed Feb 12, 2026</x:v>
      </x:c>
      <x:c r="C109" s="107" t="str">
        <x:v>0000059478-26-000013</x:v>
      </x:c>
      <x:c r="D109" s="16" t="str">
        <x:v>pp. 51, 57, 76–77</x:v>
      </x:c>
      <x:c r="L109" s="169" t="str">
        <x:v>https://www.sec.gov/Archives/edgar/data/59478/000005947826000013/lly-20251231.htm</x:v>
      </x:c>
    </x:row>
    <x:row r="110" ht="72" customHeight="1">
      <x:c r="A110" s="25" t="str">
        <x:v>Competing cash uses</x:v>
      </x:c>
      <x:c r="B110" s="107" t="str">
        <x:v>10-Q filed Aug 5, 2026</x:v>
      </x:c>
      <x:c r="C110" s="107" t="str">
        <x:v>0000059478-26-000081</x:v>
      </x:c>
      <x:c r="D110" s="16" t="str">
        <x:v>pp. 7–8, 12–14, 17, 23, 31</x:v>
      </x:c>
      <x:c r="L110" s="169" t="str">
        <x:v>https://www.sec.gov/Archives/edgar/data/59478/000005947826000081/lly-20260630.htm</x:v>
      </x:c>
    </x:row>
    <x:row r="111" ht="72" customHeight="1">
      <x:c r="A111" s="25" t="str">
        <x:v>Competing cash uses</x:v>
      </x:c>
      <x:c r="B111" s="107" t="str">
        <x:v>Earnings exhibit filed Aug 5, 2026</x:v>
      </x:c>
      <x:c r="C111" s="107" t="str">
        <x:v>0000059478-26-000077</x:v>
      </x:c>
      <x:c r="D111" s="16" t="str">
        <x:v>Other announcements</x:v>
      </x:c>
      <x:c r="L111" s="169" t="str">
        <x:v>https://www.sec.gov/Archives/edgar/data/59478/000005947826000077/q226lillysalesandearningsp.htm</x:v>
      </x:c>
    </x:row>
    <x:row r="112" ht="72" customHeight="1">
      <x:c r="A112" s="25" t="str">
        <x:v>Decisive unknowns</x:v>
      </x:c>
      <x:c r="B112" s="107" t="str">
        <x:v>10-Q filed Aug 5, 2026</x:v>
      </x:c>
      <x:c r="C112" s="107" t="str">
        <x:v>0000059478-26-000081</x:v>
      </x:c>
      <x:c r="D112" s="16" t="str">
        <x:v>pp. 7–8, 12–14, 17, 23, 31</x:v>
      </x:c>
      <x:c r="L112" s="169" t="str">
        <x:v>https://www.sec.gov/Archives/edgar/data/59478/000005947826000081/lly-20260630.htm</x:v>
      </x:c>
    </x:row>
    <x:row r="113" ht="72" customHeight="1">
      <x:c r="A113" s="25" t="str">
        <x:v>Decisive unknowns</x:v>
      </x:c>
      <x:c r="B113" s="107" t="str">
        <x:v>10-K filed Feb 12, 2026</x:v>
      </x:c>
      <x:c r="C113" s="107" t="str">
        <x:v>0000059478-26-000013</x:v>
      </x:c>
      <x:c r="D113" s="16" t="str">
        <x:v>pp. 51, 57, 76–77</x:v>
      </x:c>
      <x:c r="L113" s="169" t="str">
        <x:v>https://www.sec.gov/Archives/edgar/data/59478/000005947826000013/lly-20251231.htm</x:v>
      </x:c>
    </x:row>
    <x:row r="114" ht="72" customHeight="1">
      <x:c r="A114" s="25" t="str">
        <x:v>Decisive unknowns</x:v>
      </x:c>
      <x:c r="B114" s="107" t="str">
        <x:v>Earnings exhibit filed Aug 5, 2026</x:v>
      </x:c>
      <x:c r="C114" s="107" t="str">
        <x:v>0000059478-26-000077</x:v>
      </x:c>
      <x:c r="D114" s="16" t="str">
        <x:v>Other announcements</x:v>
      </x:c>
      <x:c r="L114" s="169" t="str">
        <x:v>https://www.sec.gov/Archives/edgar/data/59478/000005947826000077/q226lillysalesandearningsp.htm</x:v>
      </x:c>
    </x:row>
    <x:row r="115" ht="72" customHeight="1">
      <x:c r="A115" s="25" t="str">
        <x:v>Historical coverage</x:v>
      </x:c>
      <x:c r="B115" s="107" t="str">
        <x:v>10-Q filed Aug 5, 2026</x:v>
      </x:c>
      <x:c r="C115" s="107" t="str">
        <x:v>0000059478-26-000081</x:v>
      </x:c>
      <x:c r="D115" s="16" t="str">
        <x:v>Operations p. 5; segment Note 11 p. 23</x:v>
      </x:c>
      <x:c r="L115" s="169" t="str">
        <x:v>https://www.sec.gov/Archives/edgar/data/59478/000005947826000081/lly-20260630.htm</x:v>
      </x:c>
    </x:row>
    <x:row r="116" ht="72" customHeight="1">
      <x:c r="A116" s="26" t="str">
        <x:v>Historical coverage</x:v>
      </x:c>
      <x:c r="B116" s="109" t="str">
        <x:v>10-K filed Feb 12, 2026</x:v>
      </x:c>
      <x:c r="C116" s="109" t="str">
        <x:v>0000059478-26-000013</x:v>
      </x:c>
      <x:c r="D116" s="18" t="str">
        <x:v>Operations p. 57; Borrowings Note 11 p. 77</x:v>
      </x:c>
      <x:c r="L116" s="170" t="str">
        <x:v>https://www.sec.gov/Archives/edgar/data/59478/000005947826000013/lly-20251231.htm</x:v>
      </x:c>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Unavailable reason</x:v>
      </x:c>
      <x:c r="O119" s="14" t="str">
        <x:v>Reviewed source SHA256</x:v>
      </x:c>
    </x:row>
    <x:row r="120" ht="78" customHeight="1">
      <x:c r="A120" s="25" t="str">
        <x:v>Current borrowing</x:v>
      </x:c>
      <x:c r="B120" s="106" t="n">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c r="O120" s="16" t="str"/>
    </x:row>
    <x:row r="121" ht="78" customHeight="1">
      <x:c r="A121" s="25" t="str">
        <x:v>Noncurrent borrowing</x:v>
      </x:c>
      <x:c r="B121" s="106" t="n">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c r="O121" s="16" t="str"/>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Latest-date lease liabilities Unavailable; no checked amount in the 10-Q.</x:v>
      </x:c>
      <x:c r="O122" s="16" t="str"/>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c r="O123" s="16" t="str">
        <x:v>d45f8d1e0945df0b7b30254e96ff8c5dbd1df7d15b17c8ef7399c8e0206b7d7f</x:v>
      </x:c>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c r="O124" s="16" t="str">
        <x:v>d45f8d1e0945df0b7b30254e96ff8c5dbd1df7d15b17c8ef7399c8e0206b7d7f</x:v>
      </x:c>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No checked June amount. The 10-K describes operating leases only; finance leases are not reported, which is not zero.</x:v>
      </x:c>
      <x:c r="O125" s="16" t="str"/>
    </x:row>
    <x:row r="126" ht="78" customHeight="1">
      <x:c r="A126" s="26" t="str">
        <x:v>Leases not yet commenced — Unavailable</x:v>
      </x:c>
      <x:c r="B126" s="108"/>
      <x:c r="C126" s="109"/>
      <x:c r="D126" s="80" t="d">
        <x:v>2026-06-30T00:00:00.000Z</x:v>
      </x:c>
      <x:c r="E126" s="109" t="str">
        <x:v>10-Q</x:v>
      </x:c>
      <x:c r="F126" s="80" t="d">
        <x:v>2026-08-05T00:00:00.000Z</x:v>
      </x:c>
      <x:c r="G126" s="109" t="str">
        <x:v>0000059478-26-000081</x:v>
      </x:c>
      <x:c r="H126" s="109"/>
      <x:c r="I126" s="109"/>
      <x:c r="J126" s="109"/>
      <x:c r="K126" s="109"/>
      <x:c r="L126" s="109" t="str">
        <x:v>https://www.sec.gov/Archives/edgar/data/59478/000005947826000081/lly-20260630.htm</x:v>
      </x:c>
      <x:c r="M126" s="109" t="str">
        <x:v>Saved pilot evidence; 10-Q review</x:v>
      </x:c>
      <x:c r="N126" s="109" t="str">
        <x:v>No checked amount for leases not yet commenced is established in the saved pilot evidence. Unavailable does not mean zero.</x:v>
      </x:c>
      <x:c r="O126" s="18" t="str"/>
    </x:row>
    <x:row r="129" ht="70" customHeight="1">
      <x:c r="A129" s="13" t="str">
        <x:v>Input</x:v>
      </x:c>
      <x:c r="B129" s="96" t="str">
        <x:v>USD millions</x:v>
      </x:c>
      <x:c r="C129" s="96" t="str">
        <x:v>Period start</x:v>
      </x:c>
      <x:c r="D129" s="96" t="str">
        <x:v>Period end</x:v>
      </x:c>
      <x:c r="E129" s="96" t="str">
        <x:v>Form</x:v>
      </x:c>
      <x:c r="F129" s="96" t="str">
        <x:v>Filed</x:v>
      </x:c>
      <x:c r="G129" s="96" t="str">
        <x:v>Accession</x:v>
      </x:c>
      <x:c r="H129" s="96" t="str">
        <x:v>Tag</x:v>
      </x:c>
      <x:c r="I129" s="96" t="str">
        <x:v>Context</x:v>
      </x:c>
      <x:c r="J129" s="96" t="str">
        <x:v>Scale</x:v>
      </x:c>
      <x:c r="K129" s="96" t="str">
        <x:v>Decimals</x:v>
      </x:c>
      <x:c r="L129" s="96" t="str">
        <x:v>Source</x:v>
      </x:c>
      <x:c r="M129" s="96" t="str">
        <x:v>Selection rule</x:v>
      </x:c>
      <x:c r="N129" s="96" t="str">
        <x:v>Unavailable reason</x:v>
      </x:c>
      <x:c r="O129" s="14" t="str">
        <x:v>Notes</x:v>
      </x:c>
    </x:row>
    <x:row r="130" ht="70" customHeight="1">
      <x:c r="A130" s="25" t="str">
        <x:v>Cash and cash equivalents</x:v>
      </x:c>
      <x:c r="B130" s="106" t="n">
        <x:v>7268000000</x:v>
      </x:c>
      <x:c r="C130" s="76"/>
      <x:c r="D130" s="76" t="d">
        <x:v>2025-12-31T00:00:00.000Z</x:v>
      </x:c>
      <x:c r="E130" s="107" t="str">
        <x:v>10-K</x:v>
      </x:c>
      <x:c r="F130" s="76" t="d">
        <x:v>2026-02-12T00:00:00.000Z</x:v>
      </x:c>
      <x:c r="G130" s="107" t="str">
        <x:v>0000059478-26-000013</x:v>
      </x:c>
      <x:c r="H130" s="107" t="str">
        <x:v>us-gaap:CashAndCashEquivalentsAtCarryingValue</x:v>
      </x:c>
      <x:c r="I130" s="107" t="str">
        <x:v>c-16</x:v>
      </x:c>
      <x:c r="J130" s="107" t="n">
        <x:v>6</x:v>
      </x:c>
      <x:c r="K130" s="107" t="str">
        <x:v>-6</x:v>
      </x:c>
      <x:c r="L130" s="107" t="str">
        <x:v>https://www.sec.gov/Archives/edgar/data/59478/000005947826000013/lly-20251231.htm</x:v>
      </x:c>
      <x:c r="M130" s="107" t="str">
        <x:v>10-K balance sheet p. 56; cash flows p. 58</x:v>
      </x:c>
      <x:c r="N130" s="107" t="str"/>
      <x:c r="O130" s="16" t="str">
        <x:v>d45f8d1e0945df0b7b30254e96ff8c5dbd1df7d15b17c8ef7399c8e0206b7d7f</x:v>
      </x:c>
    </x:row>
    <x:row r="131" ht="70" customHeight="1">
      <x:c r="A131" s="25" t="str">
        <x:v>Current assets</x:v>
      </x:c>
      <x:c r="B131" s="106" t="n">
        <x:v>55629000000</x:v>
      </x:c>
      <x:c r="C131" s="76"/>
      <x:c r="D131" s="76" t="d">
        <x:v>2025-12-31T00:00:00.000Z</x:v>
      </x:c>
      <x:c r="E131" s="107" t="str">
        <x:v>10-K</x:v>
      </x:c>
      <x:c r="F131" s="76" t="d">
        <x:v>2026-02-12T00:00:00.000Z</x:v>
      </x:c>
      <x:c r="G131" s="107" t="str">
        <x:v>0000059478-26-000013</x:v>
      </x:c>
      <x:c r="H131" s="107" t="str">
        <x:v>us-gaap:AssetsCurrent</x:v>
      </x:c>
      <x:c r="I131" s="107" t="str">
        <x:v>c-16</x:v>
      </x:c>
      <x:c r="J131" s="107" t="n">
        <x:v>6</x:v>
      </x:c>
      <x:c r="K131" s="107" t="str">
        <x:v>-6</x:v>
      </x:c>
      <x:c r="L131" s="107" t="str">
        <x:v>https://www.sec.gov/Archives/edgar/data/59478/000005947826000013/lly-20251231.htm</x:v>
      </x:c>
      <x:c r="M131" s="107" t="str">
        <x:v>10-K balance sheet p. 56; cash flows p. 58</x:v>
      </x:c>
      <x:c r="N131" s="107" t="str"/>
      <x:c r="O131" s="16" t="str">
        <x:v>d45f8d1e0945df0b7b30254e96ff8c5dbd1df7d15b17c8ef7399c8e0206b7d7f</x:v>
      </x:c>
    </x:row>
    <x:row r="132" ht="70" customHeight="1">
      <x:c r="A132" s="25" t="str">
        <x:v>Current liabilities</x:v>
      </x:c>
      <x:c r="B132" s="106" t="n">
        <x:v>35228000000</x:v>
      </x:c>
      <x:c r="C132" s="76"/>
      <x:c r="D132" s="76" t="d">
        <x:v>2025-12-31T00:00:00.000Z</x:v>
      </x:c>
      <x:c r="E132" s="107" t="str">
        <x:v>10-K</x:v>
      </x:c>
      <x:c r="F132" s="76" t="d">
        <x:v>2026-02-12T00:00:00.000Z</x:v>
      </x:c>
      <x:c r="G132" s="107" t="str">
        <x:v>0000059478-26-000013</x:v>
      </x:c>
      <x:c r="H132" s="107" t="str">
        <x:v>us-gaap:LiabilitiesCurrent</x:v>
      </x:c>
      <x:c r="I132" s="107" t="str">
        <x:v>c-16</x:v>
      </x:c>
      <x:c r="J132" s="107" t="n">
        <x:v>6</x:v>
      </x:c>
      <x:c r="K132" s="107" t="str">
        <x:v>-6</x:v>
      </x:c>
      <x:c r="L132" s="107" t="str">
        <x:v>https://www.sec.gov/Archives/edgar/data/59478/000005947826000013/lly-20251231.htm</x:v>
      </x:c>
      <x:c r="M132" s="107" t="str">
        <x:v>10-K balance sheet p. 56; cash flows p. 58</x:v>
      </x:c>
      <x:c r="N132" s="107" t="str"/>
      <x:c r="O132" s="16" t="str">
        <x:v>d45f8d1e0945df0b7b30254e96ff8c5dbd1df7d15b17c8ef7399c8e0206b7d7f</x:v>
      </x:c>
    </x:row>
    <x:row r="133" ht="70" customHeight="1">
      <x:c r="A133" s="25" t="str">
        <x:v>Short-term borrowings and current maturities of long-term debt</x:v>
      </x:c>
      <x:c r="B133" s="106" t="n">
        <x:v>1635000000</x:v>
      </x:c>
      <x:c r="C133" s="76"/>
      <x:c r="D133" s="76" t="d">
        <x:v>2025-12-31T00:00:00.000Z</x:v>
      </x:c>
      <x:c r="E133" s="107" t="str">
        <x:v>10-K</x:v>
      </x:c>
      <x:c r="F133" s="76" t="d">
        <x:v>2026-02-12T00:00:00.000Z</x:v>
      </x:c>
      <x:c r="G133" s="107" t="str">
        <x:v>0000059478-26-000013</x:v>
      </x:c>
      <x:c r="H133" s="107" t="str">
        <x:v>us-gaap:DebtCurrent</x:v>
      </x:c>
      <x:c r="I133" s="107" t="str">
        <x:v>c-16</x:v>
      </x:c>
      <x:c r="J133" s="107" t="n">
        <x:v>6</x:v>
      </x:c>
      <x:c r="K133" s="107" t="str">
        <x:v>-6</x:v>
      </x:c>
      <x:c r="L133" s="107" t="str">
        <x:v>https://www.sec.gov/Archives/edgar/data/59478/000005947826000013/lly-20251231.htm</x:v>
      </x:c>
      <x:c r="M133" s="107" t="str">
        <x:v>10-K balance sheet p. 56; cash flows p. 58</x:v>
      </x:c>
      <x:c r="N133" s="107" t="str"/>
      <x:c r="O133" s="16" t="str">
        <x:v>d45f8d1e0945df0b7b30254e96ff8c5dbd1df7d15b17c8ef7399c8e0206b7d7f</x:v>
      </x:c>
    </x:row>
    <x:row r="134" ht="70" customHeight="1">
      <x:c r="A134" s="25" t="str">
        <x:v>Long-term debt</x:v>
      </x:c>
      <x:c r="B134" s="106" t="n">
        <x:v>40868000000</x:v>
      </x:c>
      <x:c r="C134" s="76"/>
      <x:c r="D134" s="76" t="d">
        <x:v>2025-12-31T00:00:00.000Z</x:v>
      </x:c>
      <x:c r="E134" s="107" t="str">
        <x:v>10-K</x:v>
      </x:c>
      <x:c r="F134" s="76" t="d">
        <x:v>2026-02-12T00:00:00.000Z</x:v>
      </x:c>
      <x:c r="G134" s="107" t="str">
        <x:v>0000059478-26-000013</x:v>
      </x:c>
      <x:c r="H134" s="107" t="str">
        <x:v>us-gaap:LongTermDebtNoncurrent</x:v>
      </x:c>
      <x:c r="I134" s="107" t="str">
        <x:v>c-16</x:v>
      </x:c>
      <x:c r="J134" s="107" t="n">
        <x:v>6</x:v>
      </x:c>
      <x:c r="K134" s="107" t="str">
        <x:v>-6</x:v>
      </x:c>
      <x:c r="L134" s="107" t="str">
        <x:v>https://www.sec.gov/Archives/edgar/data/59478/000005947826000013/lly-20251231.htm</x:v>
      </x:c>
      <x:c r="M134" s="107" t="str">
        <x:v>10-K balance sheet p. 56; cash flows p. 58</x:v>
      </x:c>
      <x:c r="N134" s="107" t="str"/>
      <x:c r="O134" s="16" t="str">
        <x:v>d45f8d1e0945df0b7b30254e96ff8c5dbd1df7d15b17c8ef7399c8e0206b7d7f</x:v>
      </x:c>
    </x:row>
    <x:row r="135" ht="70" customHeight="1">
      <x:c r="A135" s="25" t="str">
        <x:v>Operating cash flow · fiscal year</x:v>
      </x:c>
      <x:c r="B135" s="106" t="n">
        <x:v>16813000000</x:v>
      </x:c>
      <x:c r="C135" s="76" t="d">
        <x:v>2025-01-01T00:00:00.000Z</x:v>
      </x:c>
      <x:c r="D135" s="76" t="d">
        <x:v>2025-12-31T00:00:00.000Z</x:v>
      </x:c>
      <x:c r="E135" s="107" t="str">
        <x:v>10-K</x:v>
      </x:c>
      <x:c r="F135" s="76" t="d">
        <x:v>2026-02-12T00:00:00.000Z</x:v>
      </x:c>
      <x:c r="G135" s="107" t="str">
        <x:v>0000059478-26-000013</x:v>
      </x:c>
      <x:c r="H135" s="107" t="str">
        <x:v>us-gaap:NetCashProvidedByUsedInOperatingActivities</x:v>
      </x:c>
      <x:c r="I135" s="107" t="str">
        <x:v>c-1</x:v>
      </x:c>
      <x:c r="J135" s="107" t="n">
        <x:v>6</x:v>
      </x:c>
      <x:c r="K135" s="107" t="str">
        <x:v>-6</x:v>
      </x:c>
      <x:c r="L135" s="107" t="str">
        <x:v>https://www.sec.gov/Archives/edgar/data/59478/000005947826000013/lly-20251231.htm</x:v>
      </x:c>
      <x:c r="M135" s="107" t="str">
        <x:v>Annual cash-flow statement</x:v>
      </x:c>
      <x:c r="N135" s="107" t="str"/>
      <x:c r="O135" s="16" t="str"/>
    </x:row>
    <x:row r="136" ht="70" customHeight="1">
      <x:c r="A136" s="26" t="str">
        <x:v>Purchases of property and equipment · fiscal year</x:v>
      </x:c>
      <x:c r="B136" s="108" t="n">
        <x:v>7841000000</x:v>
      </x:c>
      <x:c r="C136" s="80" t="d">
        <x:v>2025-01-01T00:00:00.000Z</x:v>
      </x:c>
      <x:c r="D136" s="80" t="d">
        <x:v>2025-12-31T00:00:00.000Z</x:v>
      </x:c>
      <x:c r="E136" s="109" t="str">
        <x:v>10-K</x:v>
      </x:c>
      <x:c r="F136" s="80" t="d">
        <x:v>2026-02-12T00:00:00.000Z</x:v>
      </x:c>
      <x:c r="G136" s="109" t="str">
        <x:v>0000059478-26-000013</x:v>
      </x:c>
      <x:c r="H136" s="109" t="str">
        <x:v>us-gaap:PaymentsToAcquireOtherPropertyPlantAndEquipment</x:v>
      </x:c>
      <x:c r="I136" s="109" t="str">
        <x:v>c-1</x:v>
      </x:c>
      <x:c r="J136" s="109" t="n">
        <x:v>6</x:v>
      </x:c>
      <x:c r="K136" s="109" t="str">
        <x:v>-6</x:v>
      </x:c>
      <x:c r="L136" s="109" t="str">
        <x:v>https://www.sec.gov/Archives/edgar/data/59478/000005947826000013/lly-20251231.htm</x:v>
      </x:c>
      <x:c r="M136" s="109" t="str">
        <x:v>Annual cash-flow statement</x:v>
      </x:c>
      <x:c r="N136" s="109" t="str"/>
      <x:c r="O136" s="18"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row r="15" ht="70" customHeight="1">
      <x:c r="A15" s="218" t="str">
        <x:v>History</x:v>
      </x:c>
      <x:c r="B15" s="219" t="str">
        <x:v>Two dated observations per company. Fiscal-year and TTM flows are overlapping twelve-month windows. Unsupported older Vistra borrowing and dependent ratios remain Unavailable.</x:v>
      </x:c>
      <x:c r="C15" s="220" t="str">
        <x:v>https://github.com/jackconnolly1000-ux/sec-filing-research-terminal/blob/main/docs/company_history.md</x:v>
      </x:c>
    </x:row>
    <x:row r="16" ht="70" customHeight="1">
      <x:c r="A16" s="218" t="str">
        <x:v>Core charts</x:v>
      </x:c>
      <x:c r="B16" s="219" t="str">
        <x:v>Two native charts link to Debt and liquidity and History. Signed capital spending is a use; FCF is the result. Unsupported older Vistra borrowing is omitted, never plotted as zero.</x:v>
      </x:c>
      <x:c r="C16" s="220" t="str">
        <x:v>https://github.com/jackconnolly1000-ux/sec-filing-research-terminal/blob/main/docs/core_charts.md</x:v>
      </x:c>
    </x:row>
  </x:sheetData>
  <x:pageMargins left="0.7" right="0.7" top="0.75" bottom="0.75" header="0.3" footer="0.3"/>
</x:worksheet>
</file>