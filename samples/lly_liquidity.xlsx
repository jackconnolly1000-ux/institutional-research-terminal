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8f28379d5f4d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bt and liquidity" sheetId="1" r:id="Rab364f4f1a804830"/>
    <x:sheet xmlns:r="http://schemas.openxmlformats.org/officeDocument/2006/relationships" name="Data" sheetId="2" r:id="R5a9757e97e7a4d82"/>
    <x:sheet xmlns:r="http://schemas.openxmlformats.org/officeDocument/2006/relationships" name="About" sheetId="3" r:id="R47e1afee12a44f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,,;(#,##0,,);&quot;-&quot;"/>
    <x:numFmt numFmtId="201" formatCode="mmm d, yyyy"/>
    <x:numFmt numFmtId="202" formatCode="0.00&quot;x&quot;"/>
    <x:numFmt numFmtId="203" formatCode="0.0%"/>
  </x:numFmts>
  <x:fonts count="17">
    <x:font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sz val="11"/>
      <x:name val="Arial"/>
    </x:font>
    <x:font>
      <x:sz val="11"/>
      <x:color rgb="FF008000"/>
      <x:name val="Arial"/>
    </x:font>
    <x:font>
      <x:sz val="11"/>
      <x:color rgb="FF000000"/>
      <x:name val="Arial"/>
    </x:font>
    <x:font>
      <x:sz val="10"/>
      <x:name val="Arial"/>
    </x:font>
    <x:font>
      <x:sz val="10"/>
      <x:color rgb="FF008000"/>
      <x:name val="Arial"/>
    </x:font>
    <x:font>
      <x:sz val="10"/>
      <x:color rgb="FF00000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name val="Arial"/>
    </x:font>
    <x:font>
      <x:b/>
      <x:sz val="14"/>
      <x:name val="Arial"/>
    </x:font>
    <x:font>
      <x:b/>
      <x:sz val="10"/>
      <x:color rgb="FF008000"/>
      <x:name val="Arial"/>
    </x:font>
    <x:font>
      <x:b/>
      <x:sz val="10"/>
      <x:color rgb="FF000000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0F2F5"/>
      </x:patternFill>
    </x:fill>
  </x:fills>
  <x:borders count="13">
    <x:border>
      <x:left/>
      <x:right/>
      <x:top/>
      <x:bottom/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/>
      <x:diagonal/>
    </x:border>
    <x:border>
      <x:left style="thin">
        <x:color rgb="FFBBC3CD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BBC3CD"/>
      </x:right>
      <x:top/>
      <x:bottom/>
      <x:diagonal/>
    </x:border>
    <x:border>
      <x:left style="thin">
        <x:color rgb="FFBBC3CD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/>
      <x:bottom style="thin">
        <x:color rgb="FFBBC3CD"/>
      </x:bottom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 style="thin">
        <x:color rgb="FFBBC3CD"/>
      </x:bottom>
      <x:diagonal/>
    </x:border>
  </x:borders>
  <x:cellStyleXfs count="1">
    <x:xf numFmtId="0" fontId="0" fillId="0" borderId="0"/>
  </x:cellStyleXfs>
  <x:cellXfs count="94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202" fontId="2" fillId="0" borderId="0" xfId="0" applyNumberFormat="1" applyFont="1" applyFill="1" applyBorder="1"/>
    <x:xf numFmtId="203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5" fillId="0" borderId="0" xfId="0" applyNumberFormat="1" applyFont="1" applyFill="1" applyBorder="1"/>
    <x:xf numFmtId="201" fontId="4" fillId="0" borderId="0" xfId="0" applyNumberFormat="1" applyFont="1" applyFill="1" applyBorder="1"/>
    <x:xf numFmtId="200" fontId="6" fillId="0" borderId="0" xfId="0" applyNumberFormat="1" applyFont="1" applyFill="1" applyBorder="1"/>
    <x:xf numFmtId="202" fontId="5" fillId="0" borderId="0" xfId="0" applyNumberFormat="1" applyFont="1" applyFill="1" applyBorder="1"/>
    <x:xf numFmtId="203" fontId="6" fillId="0" borderId="0" xfId="0" applyNumberFormat="1" applyFont="1" applyFill="1" applyBorder="1"/>
    <x:xf numFmtId="0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201" fontId="7" fillId="0" borderId="0" xfId="0" applyNumberFormat="1" applyFont="1" applyFill="1" applyBorder="1"/>
    <x:xf numFmtId="200" fontId="9" fillId="0" borderId="0" xfId="0" applyNumberFormat="1" applyFont="1" applyFill="1" applyBorder="1"/>
    <x:xf numFmtId="202" fontId="8" fillId="0" borderId="0" xfId="0" applyNumberFormat="1" applyFont="1" applyFill="1" applyBorder="1"/>
    <x:xf numFmtId="203" fontId="9" fillId="0" borderId="0" xfId="0" applyNumberFormat="1" applyFont="1" applyFill="1" applyBorder="1"/>
    <x:xf numFmtId="0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/>
    </x:xf>
    <x:xf numFmtId="200" fontId="8" fillId="0" borderId="0" xfId="0" applyNumberFormat="1" applyFont="1" applyFill="1" applyBorder="1" applyAlignment="1">
      <x:alignment vertical="top"/>
    </x:xf>
    <x:xf numFmtId="201" fontId="7" fillId="0" borderId="0" xfId="0" applyNumberFormat="1" applyFont="1" applyFill="1" applyBorder="1" applyAlignment="1">
      <x:alignment vertical="top"/>
    </x:xf>
    <x:xf numFmtId="200" fontId="9" fillId="0" borderId="0" xfId="0" applyNumberFormat="1" applyFont="1" applyFill="1" applyBorder="1" applyAlignment="1">
      <x:alignment vertical="top"/>
    </x:xf>
    <x:xf numFmtId="202" fontId="8" fillId="0" borderId="0" xfId="0" applyNumberFormat="1" applyFont="1" applyFill="1" applyBorder="1" applyAlignment="1">
      <x:alignment vertical="top"/>
    </x:xf>
    <x:xf numFmtId="203" fontId="9" fillId="0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 wrapText="1"/>
    </x:xf>
    <x:xf numFmtId="200" fontId="8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202" fontId="8" fillId="0" borderId="0" xfId="0" applyNumberFormat="1" applyFont="1" applyFill="1" applyBorder="1" applyAlignment="1">
      <x:alignment vertical="top" wrapText="1"/>
    </x:xf>
    <x:xf numFmtId="203" fontId="9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/>
    <x:xf numFmtId="200" fontId="11" fillId="0" borderId="0" xfId="0" applyNumberFormat="1" applyFont="1" applyFill="1" applyBorder="1"/>
    <x:xf numFmtId="200" fontId="11" fillId="0" borderId="0" xfId="0" applyNumberFormat="1" applyFont="1" applyFill="1" applyBorder="1" applyAlignment="1">
      <x:alignment vertical="top"/>
    </x:xf>
    <x:xf numFmtId="200" fontId="11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0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200" fontId="8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200" fontId="9" fillId="0" borderId="5" xfId="0" applyNumberFormat="1" applyFont="1" applyFill="1" applyBorder="1" applyAlignment="1">
      <x:alignment vertical="top" wrapText="1"/>
    </x:xf>
    <x:xf numFmtId="202" fontId="8" fillId="0" borderId="5" xfId="0" applyNumberFormat="1" applyFont="1" applyFill="1" applyBorder="1" applyAlignment="1">
      <x:alignment vertical="top" wrapText="1"/>
    </x:xf>
    <x:xf numFmtId="203" fontId="9" fillId="0" borderId="5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203" fontId="9" fillId="0" borderId="8" xfId="0" applyNumberFormat="1" applyFont="1" applyFill="1" applyBorder="1" applyAlignment="1">
      <x:alignment vertical="top" wrapText="1"/>
    </x:xf>
    <x:xf numFmtId="201" fontId="7" fillId="0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7" fillId="2" borderId="1" xfId="0" applyNumberFormat="1" applyFont="1" applyFill="1" applyBorder="1" applyAlignment="1">
      <x:alignment vertical="top" wrapText="1"/>
    </x:xf>
    <x:xf numFmtId="0" fontId="7" fillId="2" borderId="2" xfId="0" applyNumberFormat="1" applyFont="1" applyFill="1" applyBorder="1" applyAlignment="1">
      <x:alignment vertical="top" wrapText="1"/>
    </x:xf>
    <x:xf numFmtId="0" fontId="7" fillId="2" borderId="3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vertical="top" wrapText="1"/>
    </x:xf>
    <x:xf numFmtId="0" fontId="12" fillId="2" borderId="2" xfId="0" applyNumberFormat="1" applyFont="1" applyFill="1" applyBorder="1" applyAlignment="1">
      <x:alignment vertical="top" wrapText="1"/>
    </x:xf>
    <x:xf numFmtId="0" fontId="12" fillId="2" borderId="3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horizontal="center" vertical="top" wrapText="1"/>
    </x:xf>
    <x:xf numFmtId="0" fontId="12" fillId="2" borderId="2" xfId="0" applyNumberFormat="1" applyFont="1" applyFill="1" applyBorder="1" applyAlignment="1">
      <x:alignment horizontal="center" vertical="top" wrapText="1"/>
    </x:xf>
    <x:xf numFmtId="0" fontId="12" fillId="2" borderId="3" xfId="0" applyNumberFormat="1" applyFont="1" applyFill="1" applyBorder="1" applyAlignment="1">
      <x:alignment horizontal="center" vertical="top" wrapText="1"/>
    </x:xf>
    <x:xf numFmtId="0" fontId="12" fillId="2" borderId="10" xfId="0" applyNumberFormat="1" applyFont="1" applyFill="1" applyBorder="1" applyAlignment="1">
      <x:alignment horizontal="center" vertical="top" wrapText="1"/>
    </x:xf>
    <x:xf numFmtId="0" fontId="12" fillId="2" borderId="11" xfId="0" applyNumberFormat="1" applyFont="1" applyFill="1" applyBorder="1" applyAlignment="1">
      <x:alignment horizontal="center" vertical="top" wrapText="1"/>
    </x:xf>
    <x:xf numFmtId="0" fontId="12" fillId="2" borderId="12" xfId="0" applyNumberFormat="1" applyFont="1" applyFill="1" applyBorder="1" applyAlignment="1">
      <x:alignment horizontal="center" vertical="top" wrapText="1"/>
    </x:xf>
    <x:xf numFmtId="0" fontId="12" fillId="0" borderId="4" xfId="0" applyNumberFormat="1" applyFont="1" applyFill="1" applyBorder="1" applyAlignment="1">
      <x:alignment vertical="top" wrapText="1"/>
    </x:xf>
    <x:xf numFmtId="200" fontId="14" fillId="0" borderId="5" xfId="0" applyNumberFormat="1" applyFont="1" applyFill="1" applyBorder="1" applyAlignment="1">
      <x:alignment vertical="top" wrapText="1"/>
    </x:xf>
    <x:xf numFmtId="201" fontId="12" fillId="0" borderId="5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200" fontId="14" fillId="0" borderId="2" xfId="0" applyNumberFormat="1" applyFont="1" applyFill="1" applyBorder="1" applyAlignment="1">
      <x:alignment vertical="top" wrapText="1"/>
    </x:xf>
    <x:xf numFmtId="201" fontId="12" fillId="0" borderId="2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200" fontId="15" fillId="0" borderId="5" xfId="0" applyNumberFormat="1" applyFont="1" applyFill="1" applyBorder="1" applyAlignment="1">
      <x:alignment vertical="top" wrapText="1"/>
    </x:xf>
    <x:xf numFmtId="200" fontId="15" fillId="0" borderId="2" xfId="0" applyNumberFormat="1" applyFont="1" applyFill="1" applyBorder="1" applyAlignment="1">
      <x:alignment vertical="top" wrapText="1"/>
    </x:xf>
    <x:xf numFmtId="0" fontId="16" fillId="0" borderId="6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200" fontId="11" fillId="0" borderId="5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200" fontId="11" fillId="0" borderId="8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9470e314fe434a" /><Relationship Type="http://schemas.openxmlformats.org/officeDocument/2006/relationships/theme" Target="/xl/theme/theme1.xml" Id="Ra959cedc6cb4487b" /><Relationship Type="http://schemas.openxmlformats.org/officeDocument/2006/relationships/sharedStrings" Target="/xl/sharedStrings.xml" Id="Rd5bbfe8fae9044e6" /><Relationship Type="http://schemas.openxmlformats.org/officeDocument/2006/relationships/worksheet" Target="/xl/worksheets/sheet1.xml" Id="Rab364f4f1a804830" /><Relationship Type="http://schemas.openxmlformats.org/officeDocument/2006/relationships/worksheet" Target="/xl/worksheets/sheet2.xml" Id="R5a9757e97e7a4d82" /><Relationship Type="http://schemas.openxmlformats.org/officeDocument/2006/relationships/worksheet" Target="/xl/worksheets/sheet3.xml" Id="R47e1afee12a44f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9" hidden="0" customWidth="1"/>
    <x:col min="3" max="3" width="26" hidden="0" customWidth="1"/>
    <x:col min="4" max="4" width="73" hidden="0" customWidth="1"/>
  </x:cols>
  <x:sheetData>
    <x:row r="2" ht="30" customHeight="1">
      <x:c r="A2" s="43" t="str">
        <x:v>Eli Lilly and Company</x:v>
      </x:c>
      <x:c r="B2" s="31"/>
      <x:c r="C2" s="31"/>
      <x:c r="D2" s="31"/>
    </x:row>
    <x:row r="3" ht="30" customHeight="1">
      <x:c r="A3" s="44" t="str">
        <x:v>Balance sheet June 30, 2026. TTM July 2025–June 2026. USD millions unless ratio or %.</x:v>
      </x:c>
      <x:c r="B3" s="31"/>
      <x:c r="C3" s="31"/>
      <x:c r="D3" s="31"/>
    </x:row>
    <x:row r="4" ht="30" customHeight="1">
      <x:c r="A4" s="31"/>
      <x:c r="B4" s="31"/>
      <x:c r="C4" s="31"/>
      <x:c r="D4" s="31"/>
    </x:row>
    <x:row r="5" ht="30" customHeight="1">
      <x:c r="A5" s="74" t="str">
        <x:v>Measure</x:v>
      </x:c>
      <x:c r="B5" s="75" t="str">
        <x:v>Value</x:v>
      </x:c>
      <x:c r="C5" s="75" t="str">
        <x:v>Period end</x:v>
      </x:c>
      <x:c r="D5" s="76" t="str">
        <x:v>Basis / limitation</x:v>
      </x:c>
    </x:row>
    <x:row r="6" ht="46" customHeight="1">
      <x:c r="A6" s="48" t="str">
        <x:v>Cash and cash equivalents</x:v>
      </x:c>
      <x:c r="B6" s="49" t="n">
        <x:f>IF(ISNUMBER('Data'!B2),'Data'!B2,NA())</x:f>
        <x:v>8950000000</x:v>
      </x:c>
      <x:c r="C6" s="50" t="d">
        <x:v>2026-06-30T00:00:00.000Z</x:v>
      </x:c>
      <x:c r="D6" s="87" t="str"/>
    </x:row>
    <x:row r="7" ht="68" customHeight="1">
      <x:c r="A7" s="81" t="str">
        <x:v>Baseline gross debt</x:v>
      </x:c>
      <x:c r="B7" s="82" t="n">
        <x:f>IF(ISNUMBER('Data'!B3),'Data'!B3,NA())+IF(ISNUMBER('Data'!B4),'Data'!B4,NA())</x:f>
        <x:v>54908000000</x:v>
      </x:c>
      <x:c r="C7" s="83" t="d">
        <x:v>2026-06-30T00:00:00.000Z</x:v>
      </x:c>
      <x:c r="D7" s="88" t="str">
        <x:v>In this 10-Q, the Note 8 fair-value table's carrying amounts (commercial paper 5,284M plus long-term debt including current portion 49,624M) present the same 54,908M; they are not added. Excluded: fair-value-table carrying amounts of the same borrowings (commercial paper, long-term debt)</x:v>
      </x:c>
    </x:row>
    <x:row r="8" ht="46" customHeight="1">
      <x:c r="A8" s="81" t="str">
        <x:v>Net debt</x:v>
      </x:c>
      <x:c r="B8" s="86" t="n">
        <x:f>B7-B6</x:f>
        <x:v>45958000000</x:v>
      </x:c>
      <x:c r="C8" s="83" t="d">
        <x:v>2026-06-30T00:00:00.000Z</x:v>
      </x:c>
      <x:c r="D8" s="88" t="str"/>
    </x:row>
    <x:row r="9" ht="46" customHeight="1">
      <x:c r="A9" s="48" t="str">
        <x:v>Current ratio</x:v>
      </x:c>
      <x:c r="B9" s="53" t="n">
        <x:f>IF(IF(ISNUMBER('Data'!B5),'Data'!B5,NA())&gt;0,IF(ISNUMBER('Data'!B6),'Data'!B6,NA())/IF(ISNUMBER('Data'!B5),'Data'!B5,NA()),NA())</x:f>
        <x:v>1.3546427598919168</x:v>
      </x:c>
      <x:c r="C9" s="50" t="d">
        <x:v>2026-06-30T00:00:00.000Z</x:v>
      </x:c>
      <x:c r="D9" s="87" t="str"/>
    </x:row>
    <x:row r="10" ht="46" customHeight="1">
      <x:c r="A10" s="48" t="str">
        <x:v>Operating cash flow</x:v>
      </x:c>
      <x:c r="B10" s="49" t="n">
        <x:f>(1*IF(ISNUMBER('Data'!B7),'Data'!B7,NA())) + (1*IF(ISNUMBER('Data'!B8),'Data'!B8,NA())) + (-1*IF(ISNUMBER('Data'!B9),'Data'!B9,NA()))</x:f>
        <x:v>28083000000</x:v>
      </x:c>
      <x:c r="C10" s="50" t="d">
        <x:v>2026-06-30T00:00:00.000Z</x:v>
      </x:c>
      <x:c r="D10" s="87" t="str"/>
    </x:row>
    <x:row r="11" ht="46" customHeight="1">
      <x:c r="A11" s="48" t="str">
        <x:v>Purchases of property and equipment</x:v>
      </x:c>
      <x:c r="B11" s="49" t="n">
        <x:f>(1*IF(ISNUMBER('Data'!B10),'Data'!B10,NA())) + (1*IF(ISNUMBER('Data'!B11),'Data'!B11,NA())) + (-1*IF(ISNUMBER('Data'!B12),'Data'!B12,NA()))</x:f>
        <x:v>9893000000</x:v>
      </x:c>
      <x:c r="C11" s="50" t="d">
        <x:v>2026-06-30T00:00:00.000Z</x:v>
      </x:c>
      <x:c r="D11" s="87" t="str"/>
    </x:row>
    <x:row r="12" ht="46" customHeight="1">
      <x:c r="A12" s="81" t="str">
        <x:v>Free cash flow</x:v>
      </x:c>
      <x:c r="B12" s="86" t="n">
        <x:f>B10-B11</x:f>
        <x:v>18190000000</x:v>
      </x:c>
      <x:c r="C12" s="83" t="d">
        <x:v>2026-06-30T00:00:00.000Z</x:v>
      </x:c>
      <x:c r="D12" s="88" t="str">
        <x:v>Reported purchases of property and equipment; excludes acquisitions and other investing cash flows.</x:v>
      </x:c>
    </x:row>
    <x:row r="13" ht="46" customHeight="1">
      <x:c r="A13" s="48" t="str">
        <x:v>Operating cash flow / debt</x:v>
      </x:c>
      <x:c r="B13" s="54" t="n">
        <x:f>IF(B7&gt;0,B10/B7,NA())</x:f>
        <x:v>0.511455525606469</x:v>
      </x:c>
      <x:c r="C13" s="50" t="d">
        <x:v>2026-06-30T00:00:00.000Z</x:v>
      </x:c>
      <x:c r="D13" s="87" t="str">
        <x:v>Historical TTM flow / period-end debt. Not repayment coverage.</x:v>
      </x:c>
    </x:row>
    <x:row r="14" ht="46" customHeight="1">
      <x:c r="A14" s="55" t="str">
        <x:v>Free cash flow / debt</x:v>
      </x:c>
      <x:c r="B14" s="56" t="n">
        <x:f>IF(B7&gt;0,B12/B7,NA())</x:f>
        <x:v>0.33128141618707657</x:v>
      </x:c>
      <x:c r="C14" s="57" t="d">
        <x:v>2026-06-30T00:00:00.000Z</x:v>
      </x:c>
      <x:c r="D14" s="89" t="str">
        <x:v>Historical TTM flow / period-end debt. Not repayment coverage.</x:v>
      </x:c>
    </x:row>
    <x:row r="15" ht="30" customHeight="1">
      <x:c r="A15" s="31"/>
      <x:c r="B15" s="31"/>
      <x:c r="C15" s="31"/>
      <x:c r="D15" s="31"/>
    </x:row>
    <x:row r="16" ht="30" customHeight="1">
      <x:c r="A16" s="31"/>
      <x:c r="B16" s="31"/>
      <x:c r="C16" s="31"/>
      <x:c r="D16" s="31"/>
    </x:row>
    <x:row r="17" ht="30" customHeight="1">
      <x:c r="A17" s="31" t="str">
        <x:v>Selected obligations, separate from borrowing</x:v>
      </x:c>
      <x:c r="B17" s="31"/>
      <x:c r="C17" s="31"/>
      <x:c r="D17" s="31"/>
    </x:row>
    <x:row r="18" ht="30" customHeight="1">
      <x:c r="A18" s="74" t="str">
        <x:v>Item</x:v>
      </x:c>
      <x:c r="B18" s="75" t="str">
        <x:v>Disclosed amount / timing</x:v>
      </x:c>
      <x:c r="C18" s="76" t="str">
        <x:v>Basis</x:v>
      </x:c>
      <x:c r="D18" s="31"/>
    </x:row>
    <x:row r="19" ht="62" customHeight="1">
      <x:c r="A19" s="59" t="str">
        <x:f>'Data'!A16</x:f>
        <x:v>Pending AtaiBeckley acquisition</x:v>
      </x:c>
      <x:c r="B19" s="60" t="str">
        <x:f>'Data'!B16</x:f>
        <x:v>Approximately $2.8B</x:v>
      </x:c>
      <x:c r="C19" s="61" t="str">
        <x:f>'Data'!I16</x:f>
        <x:v>Potential payment at closing, subject to closing conditions. Not recognized as borrowing.</x:v>
      </x:c>
      <x:c r="D19" s="31"/>
    </x:row>
    <x:row r="20" ht="62" customHeight="1">
      <x:c r="A20" s="62" t="str">
        <x:f>'Data'!A17</x:f>
        <x:v>Venture fund commitments</x:v>
      </x:c>
      <x:c r="B20" s="63" t="str">
        <x:f>'Data'!B17</x:f>
        <x:v>Approximately $806M</x:v>
      </x:c>
      <x:c r="C20" s="64" t="str">
        <x:f>'Data'!I17</x:f>
        <x:v>Expected to be paid over up to ten years. Not recognized as borrowing.</x:v>
      </x:c>
      <x:c r="D20" s="31"/>
    </x:row>
    <x:row r="21" ht="30" customHeight="1">
      <x:c r="A21" s="31"/>
      <x:c r="B21" s="31"/>
      <x:c r="C21" s="31"/>
      <x:c r="D21" s="31"/>
    </x:row>
    <x:row r="22" ht="30" customHeight="1">
      <x:c r="A22" s="31"/>
      <x:c r="B22" s="31"/>
      <x:c r="C22" s="31"/>
      <x:c r="D22" s="31"/>
    </x:row>
    <x:row r="23" ht="30" customHeight="1">
      <x:c r="A23" s="31" t="str">
        <x:v>Remaining gaps</x:v>
      </x:c>
      <x:c r="B23" s="31"/>
      <x:c r="C23" s="31"/>
      <x:c r="D23" s="31"/>
    </x:row>
    <x:row r="24" ht="30" customHeight="1">
      <x:c r="A24" s="44" t="str">
        <x:v>June lease liabilities, full maturity review and interest coverage are Unavailable.</x:v>
      </x:c>
      <x:c r="B24" s="31"/>
      <x:c r="C24" s="31"/>
      <x:c r="D24" s="31"/>
    </x:row>
    <x:row r="25" ht="30" customHeight="1">
      <x:c r="A25" s="44" t="str">
        <x:v>Contingencies, tax, collaboration and investment notes require further review.</x:v>
      </x:c>
      <x:c r="B25" s="31"/>
      <x:c r="C25" s="31"/>
      <x:c r="D25" s="31"/>
    </x:row>
    <x:row r="26" ht="30" customHeight="1">
      <x:c r="A26" s="44" t="str">
        <x:v>Sources and selection rules are in Data. No later financing findings are loaded in this review.</x:v>
      </x:c>
      <x:c r="B26" s="31"/>
      <x:c r="C26" s="31"/>
      <x:c r="D26" s="3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0" hidden="0" customWidth="1"/>
    <x:col min="4" max="4" width="20" hidden="0" customWidth="1"/>
    <x:col min="5" max="5" width="14" hidden="0" customWidth="1"/>
    <x:col min="6" max="6" width="20" hidden="0" customWidth="1"/>
    <x:col min="7" max="7" width="33" hidden="0" customWidth="1"/>
    <x:col min="8" max="8" width="68" hidden="0" customWidth="1"/>
    <x:col min="9" max="9" width="20" hidden="0" customWidth="1"/>
    <x:col min="10" max="10" width="12" hidden="0" customWidth="1"/>
    <x:col min="11" max="11" width="12" hidden="0" customWidth="1"/>
    <x:col min="12" max="12" width="75" hidden="0" customWidth="1"/>
    <x:col min="13" max="13" width="75" hidden="0" customWidth="1"/>
    <x:col min="14" max="14" width="60" hidden="0" customWidth="1"/>
    <x:col min="15" max="15" width="90" hidden="0" customWidth="1"/>
  </x:cols>
  <x:sheetData>
    <x:row r="1" ht="32" customHeight="1">
      <x:c r="A1" s="74" t="str">
        <x:v>Input</x:v>
      </x:c>
      <x:c r="B1" s="75" t="str">
        <x:v>USD millions</x:v>
      </x:c>
      <x:c r="C1" s="75" t="str">
        <x:v>Period start</x:v>
      </x:c>
      <x:c r="D1" s="75" t="str">
        <x:v>Period end</x:v>
      </x:c>
      <x:c r="E1" s="75" t="str">
        <x:v>Form</x:v>
      </x:c>
      <x:c r="F1" s="75" t="str">
        <x:v>Filed</x:v>
      </x:c>
      <x:c r="G1" s="75" t="str">
        <x:v>Accession</x:v>
      </x:c>
      <x:c r="H1" s="75" t="str">
        <x:v>Tag</x:v>
      </x:c>
      <x:c r="I1" s="75" t="str">
        <x:v>Context</x:v>
      </x:c>
      <x:c r="J1" s="75" t="str">
        <x:v>Scale</x:v>
      </x:c>
      <x:c r="K1" s="75" t="str">
        <x:v>Decimals</x:v>
      </x:c>
      <x:c r="L1" s="75" t="str">
        <x:v>Source</x:v>
      </x:c>
      <x:c r="M1" s="75" t="str">
        <x:v>Selection rule</x:v>
      </x:c>
      <x:c r="N1" s="75" t="str">
        <x:v>Unavailable reason</x:v>
      </x:c>
      <x:c r="O1" s="76" t="str">
        <x:v>Notes</x:v>
      </x:c>
    </x:row>
    <x:row r="2" ht="65" customHeight="1">
      <x:c r="A2" s="48" t="str">
        <x:v>Cash and cash equivalents</x:v>
      </x:c>
      <x:c r="B2" s="90" t="n">
        <x:v>8950000000</x:v>
      </x:c>
      <x:c r="C2" s="50"/>
      <x:c r="D2" s="50" t="d">
        <x:v>2026-06-30T00:00:00.000Z</x:v>
      </x:c>
      <x:c r="E2" s="91" t="str">
        <x:v>10-Q</x:v>
      </x:c>
      <x:c r="F2" s="50" t="d">
        <x:v>2026-08-05T00:00:00.000Z</x:v>
      </x:c>
      <x:c r="G2" s="91" t="str">
        <x:v>0000059478-26-000081</x:v>
      </x:c>
      <x:c r="H2" s="91" t="str">
        <x:v>us-gaap:CashAndCashEquivalentsAtCarryingValue</x:v>
      </x:c>
      <x:c r="I2" s="91"/>
      <x:c r="J2" s="91"/>
      <x:c r="K2" s="91"/>
      <x:c r="L2" s="91" t="str">
        <x:v>https://www.sec.gov/Archives/edgar/data/59478/000005947826000081/lly-20260630.htm</x:v>
      </x:c>
      <x:c r="M2" s="91" t="str">
        <x:v>USD instant at the balance-sheet date, from the latest original 10-K or 10-Q itself</x:v>
      </x:c>
      <x:c r="N2" s="91" t="str"/>
      <x:c r="O2" s="51" t="str"/>
    </x:row>
    <x:row r="3" ht="65" customHeight="1">
      <x:c r="A3" s="48" t="str">
        <x:v>Short-term borrowings and current maturities of long-term debt</x:v>
      </x:c>
      <x:c r="B3" s="90" t="n">
        <x:v>7050000000</x:v>
      </x:c>
      <x:c r="C3" s="50"/>
      <x:c r="D3" s="50" t="d">
        <x:v>2026-06-30T00:00:00.000Z</x:v>
      </x:c>
      <x:c r="E3" s="91" t="str">
        <x:v>10-Q</x:v>
      </x:c>
      <x:c r="F3" s="50" t="d">
        <x:v>2026-08-05T00:00:00.000Z</x:v>
      </x:c>
      <x:c r="G3" s="91" t="str">
        <x:v>0000059478-26-000081</x:v>
      </x:c>
      <x:c r="H3" s="91" t="str">
        <x:v>us-gaap:DebtCurrent</x:v>
      </x:c>
      <x:c r="I3" s="91"/>
      <x:c r="J3" s="91"/>
      <x:c r="K3" s="91"/>
      <x:c r="L3" s="91" t="str">
        <x:v>https://www.sec.gov/Archives/edgar/data/59478/000005947826000081/lly-20260630.htm</x:v>
      </x:c>
      <x:c r="M3" s="91" t="str">
        <x:v>USD instant at the balance-sheet date, from the latest original 10-K or 10-Q itself</x:v>
      </x:c>
      <x:c r="N3" s="91" t="str"/>
      <x:c r="O3" s="51" t="str"/>
    </x:row>
    <x:row r="4" ht="65" customHeight="1">
      <x:c r="A4" s="48" t="str">
        <x:v>Long-term debt</x:v>
      </x:c>
      <x:c r="B4" s="90" t="n">
        <x:v>47858000000</x:v>
      </x:c>
      <x:c r="C4" s="50"/>
      <x:c r="D4" s="50" t="d">
        <x:v>2026-06-30T00:00:00.000Z</x:v>
      </x:c>
      <x:c r="E4" s="91" t="str">
        <x:v>10-Q</x:v>
      </x:c>
      <x:c r="F4" s="50" t="d">
        <x:v>2026-08-05T00:00:00.000Z</x:v>
      </x:c>
      <x:c r="G4" s="91" t="str">
        <x:v>0000059478-26-000081</x:v>
      </x:c>
      <x:c r="H4" s="91" t="str">
        <x:v>us-gaap:LongTermDebtNoncurrent</x:v>
      </x:c>
      <x:c r="I4" s="91"/>
      <x:c r="J4" s="91"/>
      <x:c r="K4" s="91"/>
      <x:c r="L4" s="91" t="str">
        <x:v>https://www.sec.gov/Archives/edgar/data/59478/000005947826000081/lly-20260630.htm</x:v>
      </x:c>
      <x:c r="M4" s="91" t="str">
        <x:v>USD instant at the balance-sheet date, from the latest original 10-K or 10-Q itself</x:v>
      </x:c>
      <x:c r="N4" s="91" t="str"/>
      <x:c r="O4" s="51" t="str"/>
    </x:row>
    <x:row r="5" ht="65" customHeight="1">
      <x:c r="A5" s="48" t="str">
        <x:v>Current liabilities</x:v>
      </x:c>
      <x:c r="B5" s="90" t="n">
        <x:v>47741000000</x:v>
      </x:c>
      <x:c r="C5" s="50"/>
      <x:c r="D5" s="50" t="d">
        <x:v>2026-06-30T00:00:00.000Z</x:v>
      </x:c>
      <x:c r="E5" s="91" t="str">
        <x:v>10-Q</x:v>
      </x:c>
      <x:c r="F5" s="50" t="d">
        <x:v>2026-08-05T00:00:00.000Z</x:v>
      </x:c>
      <x:c r="G5" s="91" t="str">
        <x:v>0000059478-26-000081</x:v>
      </x:c>
      <x:c r="H5" s="91" t="str">
        <x:v>us-gaap:LiabilitiesCurrent</x:v>
      </x:c>
      <x:c r="I5" s="91"/>
      <x:c r="J5" s="91"/>
      <x:c r="K5" s="91"/>
      <x:c r="L5" s="91" t="str">
        <x:v>https://www.sec.gov/Archives/edgar/data/59478/000005947826000081/lly-20260630.htm</x:v>
      </x:c>
      <x:c r="M5" s="91" t="str">
        <x:v>USD instant at the balance-sheet date, from the latest original 10-K or 10-Q itself</x:v>
      </x:c>
      <x:c r="N5" s="91" t="str"/>
      <x:c r="O5" s="51" t="str"/>
    </x:row>
    <x:row r="6" ht="65" customHeight="1">
      <x:c r="A6" s="48" t="str">
        <x:v>Current assets</x:v>
      </x:c>
      <x:c r="B6" s="90" t="n">
        <x:v>64672000000</x:v>
      </x:c>
      <x:c r="C6" s="50"/>
      <x:c r="D6" s="50" t="d">
        <x:v>2026-06-30T00:00:00.000Z</x:v>
      </x:c>
      <x:c r="E6" s="91" t="str">
        <x:v>10-Q</x:v>
      </x:c>
      <x:c r="F6" s="50" t="d">
        <x:v>2026-08-05T00:00:00.000Z</x:v>
      </x:c>
      <x:c r="G6" s="91" t="str">
        <x:v>0000059478-26-000081</x:v>
      </x:c>
      <x:c r="H6" s="91" t="str">
        <x:v>us-gaap:AssetsCurrent</x:v>
      </x:c>
      <x:c r="I6" s="91"/>
      <x:c r="J6" s="91"/>
      <x:c r="K6" s="91"/>
      <x:c r="L6" s="91" t="str">
        <x:v>https://www.sec.gov/Archives/edgar/data/59478/000005947826000081/lly-20260630.htm</x:v>
      </x:c>
      <x:c r="M6" s="91" t="str">
        <x:v>USD instant at the balance-sheet date, from the latest original 10-K or 10-Q itself</x:v>
      </x:c>
      <x:c r="N6" s="91" t="str"/>
      <x:c r="O6" s="51" t="str"/>
    </x:row>
    <x:row r="7" ht="65" customHeight="1">
      <x:c r="A7" s="48" t="str">
        <x:v>Operating cash flow · fiscal year</x:v>
      </x:c>
      <x:c r="B7" s="90" t="n">
        <x:v>16813000000</x:v>
      </x:c>
      <x:c r="C7" s="50" t="d">
        <x:v>2025-01-01T00:00:00.000Z</x:v>
      </x:c>
      <x:c r="D7" s="50" t="d">
        <x:v>2025-12-31T00:00:00.000Z</x:v>
      </x:c>
      <x:c r="E7" s="91" t="str">
        <x:v>10-K</x:v>
      </x:c>
      <x:c r="F7" s="50" t="d">
        <x:v>2026-02-12T00:00:00.000Z</x:v>
      </x:c>
      <x:c r="G7" s="91" t="str">
        <x:v>0000059478-26-000013</x:v>
      </x:c>
      <x:c r="H7" s="91" t="str">
        <x:v>us-gaap:NetCashProvidedByUsedInOperatingActivities</x:v>
      </x:c>
      <x:c r="I7" s="91" t="str">
        <x:v>c-1</x:v>
      </x:c>
      <x:c r="J7" s="91" t="n">
        <x:v>6</x:v>
      </x:c>
      <x:c r="K7" s="91" t="str">
        <x:v>-6</x:v>
      </x:c>
      <x:c r="L7" s="91" t="str">
        <x:v>https://www.sec.gov/Archives/edgar/data/59478/000005947826000013/lly-20251231.htm</x:v>
      </x:c>
      <x:c r="M7" s="91" t="str">
        <x:v>Exact tag, USD duration, exact start and end dates, no dimensions</x:v>
      </x:c>
      <x:c r="N7" s="91" t="str"/>
      <x:c r="O7" s="51" t="str"/>
    </x:row>
    <x:row r="8" ht="65" customHeight="1">
      <x:c r="A8" s="48" t="str">
        <x:v>Operating cash flow · current year to date</x:v>
      </x:c>
      <x:c r="B8" s="90" t="n">
        <x:v>16023000000</x:v>
      </x:c>
      <x:c r="C8" s="50" t="d">
        <x:v>2026-01-01T00:00:00.000Z</x:v>
      </x:c>
      <x:c r="D8" s="50" t="d">
        <x:v>2026-06-30T00:00:00.000Z</x:v>
      </x:c>
      <x:c r="E8" s="91" t="str">
        <x:v>10-Q</x:v>
      </x:c>
      <x:c r="F8" s="50" t="d">
        <x:v>2026-08-05T00:00:00.000Z</x:v>
      </x:c>
      <x:c r="G8" s="91" t="str">
        <x:v>0000059478-26-000081</x:v>
      </x:c>
      <x:c r="H8" s="91" t="str">
        <x:v>us-gaap:NetCashProvidedByUsedInOperatingActivities</x:v>
      </x:c>
      <x:c r="I8" s="91" t="str">
        <x:v>c-1</x:v>
      </x:c>
      <x:c r="J8" s="91" t="n">
        <x:v>6</x:v>
      </x:c>
      <x:c r="K8" s="91" t="str">
        <x:v>-6</x:v>
      </x:c>
      <x:c r="L8" s="91" t="str">
        <x:v>https://www.sec.gov/Archives/edgar/data/59478/000005947826000081/lly-20260630.htm</x:v>
      </x:c>
      <x:c r="M8" s="91" t="str">
        <x:v>Exact tag, USD duration, exact start and end dates, no dimensions</x:v>
      </x:c>
      <x:c r="N8" s="91" t="str"/>
      <x:c r="O8" s="51" t="str"/>
    </x:row>
    <x:row r="9" ht="65" customHeight="1">
      <x:c r="A9" s="48" t="str">
        <x:v>Operating cash flow · prior year to date</x:v>
      </x:c>
      <x:c r="B9" s="90" t="n">
        <x:v>4753000000</x:v>
      </x:c>
      <x:c r="C9" s="50" t="d">
        <x:v>2025-01-01T00:00:00.000Z</x:v>
      </x:c>
      <x:c r="D9" s="50" t="d">
        <x:v>2025-06-30T00:00:00.000Z</x:v>
      </x:c>
      <x:c r="E9" s="91" t="str">
        <x:v>10-Q</x:v>
      </x:c>
      <x:c r="F9" s="50" t="d">
        <x:v>2026-08-05T00:00:00.000Z</x:v>
      </x:c>
      <x:c r="G9" s="91" t="str">
        <x:v>0000059478-26-000081</x:v>
      </x:c>
      <x:c r="H9" s="91" t="str">
        <x:v>us-gaap:NetCashProvidedByUsedInOperatingActivities</x:v>
      </x:c>
      <x:c r="I9" s="91" t="str">
        <x:v>c-14</x:v>
      </x:c>
      <x:c r="J9" s="91" t="n">
        <x:v>6</x:v>
      </x:c>
      <x:c r="K9" s="91" t="str">
        <x:v>-6</x:v>
      </x:c>
      <x:c r="L9" s="91" t="str">
        <x:v>https://www.sec.gov/Archives/edgar/data/59478/000005947826000081/lly-20260630.htm</x:v>
      </x:c>
      <x:c r="M9" s="91" t="str">
        <x:v>Exact tag, USD duration, exact start and end dates, no dimensions</x:v>
      </x:c>
      <x:c r="N9" s="91" t="str"/>
      <x:c r="O9" s="51" t="str"/>
    </x:row>
    <x:row r="10" ht="65" customHeight="1">
      <x:c r="A10" s="48" t="str">
        <x:v>Purchases of property and equipment · fiscal year</x:v>
      </x:c>
      <x:c r="B10" s="90" t="n">
        <x:v>7841000000</x:v>
      </x:c>
      <x:c r="C10" s="50" t="d">
        <x:v>2025-01-01T00:00:00.000Z</x:v>
      </x:c>
      <x:c r="D10" s="50" t="d">
        <x:v>2025-12-31T00:00:00.000Z</x:v>
      </x:c>
      <x:c r="E10" s="91" t="str">
        <x:v>10-K</x:v>
      </x:c>
      <x:c r="F10" s="50" t="d">
        <x:v>2026-02-12T00:00:00.000Z</x:v>
      </x:c>
      <x:c r="G10" s="91" t="str">
        <x:v>0000059478-26-000013</x:v>
      </x:c>
      <x:c r="H10" s="91" t="str">
        <x:v>us-gaap:PaymentsToAcquireOtherPropertyPlantAndEquipment</x:v>
      </x:c>
      <x:c r="I10" s="91" t="str">
        <x:v>c-1</x:v>
      </x:c>
      <x:c r="J10" s="91" t="n">
        <x:v>6</x:v>
      </x:c>
      <x:c r="K10" s="91" t="str">
        <x:v>-6</x:v>
      </x:c>
      <x:c r="L10" s="91" t="str">
        <x:v>https://www.sec.gov/Archives/edgar/data/59478/000005947826000013/lly-20251231.htm</x:v>
      </x:c>
      <x:c r="M10" s="91" t="str">
        <x:v>Exact tag, USD duration, exact start and end dates, no dimensions</x:v>
      </x:c>
      <x:c r="N10" s="91" t="str"/>
      <x:c r="O10" s="51" t="str"/>
    </x:row>
    <x:row r="11" ht="65" customHeight="1">
      <x:c r="A11" s="48" t="str">
        <x:v>Purchases of property and equipment · current year to date</x:v>
      </x:c>
      <x:c r="B11" s="90" t="n">
        <x:v>5259000000</x:v>
      </x:c>
      <x:c r="C11" s="50" t="d">
        <x:v>2026-01-01T00:00:00.000Z</x:v>
      </x:c>
      <x:c r="D11" s="50" t="d">
        <x:v>2026-06-30T00:00:00.000Z</x:v>
      </x:c>
      <x:c r="E11" s="91" t="str">
        <x:v>10-Q</x:v>
      </x:c>
      <x:c r="F11" s="50" t="d">
        <x:v>2026-08-05T00:00:00.000Z</x:v>
      </x:c>
      <x:c r="G11" s="91" t="str">
        <x:v>0000059478-26-000081</x:v>
      </x:c>
      <x:c r="H11" s="91" t="str">
        <x:v>us-gaap:PaymentsToAcquireOtherPropertyPlantAndEquipment</x:v>
      </x:c>
      <x:c r="I11" s="91" t="str">
        <x:v>c-1</x:v>
      </x:c>
      <x:c r="J11" s="91" t="n">
        <x:v>6</x:v>
      </x:c>
      <x:c r="K11" s="91" t="str">
        <x:v>-6</x:v>
      </x:c>
      <x:c r="L11" s="91" t="str">
        <x:v>https://www.sec.gov/Archives/edgar/data/59478/000005947826000081/lly-20260630.htm</x:v>
      </x:c>
      <x:c r="M11" s="91" t="str">
        <x:v>Exact tag, USD duration, exact start and end dates, no dimensions</x:v>
      </x:c>
      <x:c r="N11" s="91" t="str"/>
      <x:c r="O11" s="51" t="str"/>
    </x:row>
    <x:row r="12" ht="65" customHeight="1">
      <x:c r="A12" s="55" t="str">
        <x:v>Purchases of property and equipment · prior year to date</x:v>
      </x:c>
      <x:c r="B12" s="92" t="n">
        <x:v>3207000000</x:v>
      </x:c>
      <x:c r="C12" s="57" t="d">
        <x:v>2025-01-01T00:00:00.000Z</x:v>
      </x:c>
      <x:c r="D12" s="57" t="d">
        <x:v>2025-06-30T00:00:00.000Z</x:v>
      </x:c>
      <x:c r="E12" s="93" t="str">
        <x:v>10-Q</x:v>
      </x:c>
      <x:c r="F12" s="57" t="d">
        <x:v>2026-08-05T00:00:00.000Z</x:v>
      </x:c>
      <x:c r="G12" s="93" t="str">
        <x:v>0000059478-26-000081</x:v>
      </x:c>
      <x:c r="H12" s="93" t="str">
        <x:v>us-gaap:PaymentsToAcquireOtherPropertyPlantAndEquipment</x:v>
      </x:c>
      <x:c r="I12" s="93" t="str">
        <x:v>c-14</x:v>
      </x:c>
      <x:c r="J12" s="93" t="n">
        <x:v>6</x:v>
      </x:c>
      <x:c r="K12" s="93" t="str">
        <x:v>-6</x:v>
      </x:c>
      <x:c r="L12" s="93" t="str">
        <x:v>https://www.sec.gov/Archives/edgar/data/59478/000005947826000081/lly-20260630.htm</x:v>
      </x:c>
      <x:c r="M12" s="93" t="str">
        <x:v>Exact tag, USD duration, exact start and end dates, no dimensions</x:v>
      </x:c>
      <x:c r="N12" s="93" t="str"/>
      <x:c r="O12" s="58" t="str"/>
    </x:row>
    <x:row r="13" ht="65" customHeight="1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</x:row>
    <x:row r="14" ht="65" customHeight="1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</x:row>
    <x:row r="15" ht="80" customHeight="1">
      <x:c r="A15" s="74" t="str">
        <x:v>Disclosure</x:v>
      </x:c>
      <x:c r="B15" s="75" t="str">
        <x:v>Amount as disclosed</x:v>
      </x:c>
      <x:c r="C15" s="75" t="str">
        <x:v>As of</x:v>
      </x:c>
      <x:c r="D15" s="75" t="str">
        <x:v>Form</x:v>
      </x:c>
      <x:c r="E15" s="75" t="str">
        <x:v>Filed</x:v>
      </x:c>
      <x:c r="F15" s="75" t="str">
        <x:v>Accession</x:v>
      </x:c>
      <x:c r="G15" s="75" t="str">
        <x:v>Source</x:v>
      </x:c>
      <x:c r="H15" s="75" t="str">
        <x:v>Filing location</x:v>
      </x:c>
      <x:c r="I15" s="76" t="str">
        <x:v>Conditions</x:v>
      </x:c>
      <x:c r="J15" s="31"/>
      <x:c r="K15" s="31"/>
      <x:c r="L15" s="31"/>
      <x:c r="M15" s="31"/>
      <x:c r="N15" s="31"/>
      <x:c r="O15" s="31"/>
    </x:row>
    <x:row r="16" ht="80" customHeight="1">
      <x:c r="A16" s="48" t="str">
        <x:v>Pending AtaiBeckley acquisition</x:v>
      </x:c>
      <x:c r="B16" s="91" t="str">
        <x:v>Approximately $2.8B</x:v>
      </x:c>
      <x:c r="C16" s="50" t="d">
        <x:v>2026-06-30T00:00:00.000Z</x:v>
      </x:c>
      <x:c r="D16" s="91" t="str">
        <x:v>10-Q</x:v>
      </x:c>
      <x:c r="E16" s="50" t="d">
        <x:v>2026-08-05T00:00:00.000Z</x:v>
      </x:c>
      <x:c r="F16" s="91" t="str">
        <x:v>0000059478-26-000081</x:v>
      </x:c>
      <x:c r="G16" s="91" t="str">
        <x:v>https://www.sec.gov/Archives/edgar/data/59478/000005947826000081/lly-20260630.htm</x:v>
      </x:c>
      <x:c r="H16" s="91" t="str">
        <x:v>10-Q MD&amp;A, p. 31</x:v>
      </x:c>
      <x:c r="I16" s="51" t="str">
        <x:v>Potential payment at closing, subject to closing conditions. Not recognized as borrowing.</x:v>
      </x:c>
      <x:c r="J16" s="31"/>
      <x:c r="K16" s="31"/>
      <x:c r="L16" s="31"/>
      <x:c r="M16" s="31"/>
      <x:c r="N16" s="31"/>
      <x:c r="O16" s="31"/>
    </x:row>
    <x:row r="17" ht="80" customHeight="1">
      <x:c r="A17" s="55" t="str">
        <x:v>Venture fund commitments</x:v>
      </x:c>
      <x:c r="B17" s="93" t="str">
        <x:v>Approximately $806M</x:v>
      </x:c>
      <x:c r="C17" s="57" t="d">
        <x:v>2026-06-30T00:00:00.000Z</x:v>
      </x:c>
      <x:c r="D17" s="93" t="str">
        <x:v>10-Q</x:v>
      </x:c>
      <x:c r="E17" s="57" t="d">
        <x:v>2026-08-05T00:00:00.000Z</x:v>
      </x:c>
      <x:c r="F17" s="93" t="str">
        <x:v>0000059478-26-000081</x:v>
      </x:c>
      <x:c r="G17" s="93" t="str">
        <x:v>https://www.sec.gov/Archives/edgar/data/59478/000005947826000081/lly-20260630.htm</x:v>
      </x:c>
      <x:c r="H17" s="93" t="str">
        <x:v>10-Q MD&amp;A, p. 31; Note 8</x:v>
      </x:c>
      <x:c r="I17" s="58" t="str">
        <x:v>Expected to be paid over up to ten years. Not recognized as borrowing.</x:v>
      </x:c>
      <x:c r="J17" s="31"/>
      <x:c r="K17" s="31"/>
      <x:c r="L17" s="31"/>
      <x:c r="M17" s="31"/>
      <x:c r="N17" s="31"/>
      <x:c r="O17" s="3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0" hidden="0" customWidth="1"/>
    <x:col min="3" max="3" width="75" hidden="0" customWidth="1"/>
  </x:cols>
  <x:sheetData>
    <x:row r="1" ht="30" customHeight="1">
      <x:c r="A1" s="74" t="str">
        <x:v>Topic</x:v>
      </x:c>
      <x:c r="B1" s="75" t="str">
        <x:v>Explanation</x:v>
      </x:c>
      <x:c r="C1" s="76" t="str">
        <x:v>Source</x:v>
      </x:c>
    </x:row>
    <x:row r="2" ht="70" customHeight="1">
      <x:c r="A2" s="48" t="str">
        <x:v>Scope</x:v>
      </x:c>
      <x:c r="B2" s="91" t="str">
        <x:v>Lilly only. Checked snapshot October 14, 2026. Financial statements dated June 30, 2026. Not investment advice.</x:v>
      </x:c>
      <x:c r="C2" s="51" t="str">
        <x:v>https://www.sec.gov/Archives/edgar/data/59478/000005947826000081/lly-20260630.htm</x:v>
      </x:c>
    </x:row>
    <x:row r="3" ht="70" customHeight="1">
      <x:c r="A3" s="48" t="str">
        <x:v>Colors</x:v>
      </x:c>
      <x:c r="B3" s="91" t="str">
        <x:v>Arial 10. Full USD displayed in millions. Blue reported inputs, green cross-sheet links, black same-sheet calculations. Zero is a dash. Missing inputs are not zero.</x:v>
      </x:c>
      <x:c r="C3" s="51"/>
    </x:row>
    <x:row r="4" ht="70" customHeight="1">
      <x:c r="A4" s="48" t="str">
        <x:v>Cash generation</x:v>
      </x:c>
      <x:c r="B4" s="91" t="str">
        <x:v>Fiscal year + current YTD − prior YTD. Capital spending uses Lilly’s checked other-PP&amp;E tag. FCF excludes acquisitions, dividends and other cash uses.</x:v>
      </x:c>
      <x:c r="C4" s="51" t="str">
        <x:v>docs/pilot_cashflow_reconciliation.md</x:v>
      </x:c>
    </x:row>
    <x:row r="5" ht="70" customHeight="1">
      <x:c r="A5" s="48" t="str">
        <x:v>Borrowing</x:v>
      </x:c>
      <x:c r="B5" s="91" t="str">
        <x:v>Balance-sheet current and noncurrent borrowing are added once. Fair-value table carrying amounts are not added again.</x:v>
      </x:c>
      <x:c r="C5" s="51" t="str">
        <x:v>docs/pilot_evidence_lly.md</x:v>
      </x:c>
    </x:row>
    <x:row r="6" ht="70" customHeight="1">
      <x:c r="A6" s="55" t="str">
        <x:v>Selected commitments</x:v>
      </x:c>
      <x:c r="B6" s="93" t="str">
        <x:v>Descriptions and amount wording retain the June 30 filing basis. They are not added to debt or to each other.</x:v>
      </x:c>
      <x:c r="C6" s="58" t="str">
        <x:v>https://www.sec.gov/Archives/edgar/data/59478/000005947826000081/lly-20260630.htm</x:v>
      </x:c>
    </x:row>
  </x:sheetData>
  <x:pageMargins left="0.7" right="0.7" top="0.75" bottom="0.75" header="0.3" footer="0.3"/>
</x:worksheet>
</file>