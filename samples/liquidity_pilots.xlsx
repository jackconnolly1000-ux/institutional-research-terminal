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169d2b5859463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bt and liquidity" sheetId="1" r:id="R7fa73168b81048cd"/>
    <x:sheet xmlns:r="http://schemas.openxmlformats.org/officeDocument/2006/relationships" name="Liquidity inputs" sheetId="2" r:id="R5e33c29768e346a9"/>
    <x:sheet xmlns:r="http://schemas.openxmlformats.org/officeDocument/2006/relationships" name="About" sheetId="3" r:id="Rba9a8349e4fe47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,,;(#,##0,,);&quot;-&quot;"/>
    <x:numFmt numFmtId="201" formatCode="0.00&quot;x&quot;"/>
    <x:numFmt numFmtId="202" formatCode="0.0%"/>
  </x:numFmts>
  <x:fonts count="7">
    <x:font>
      <x:sz val="11"/>
      <x:name val="Carlito"/>
    </x:font>
    <x:font>
      <x:sz val="11"/>
      <x:name val="Arial"/>
    </x:font>
    <x:font>
      <x:sz val="10"/>
      <x:name val="Arial"/>
    </x:font>
    <x:font>
      <x:b/>
      <x:sz val="10"/>
      <x:name val="Arial"/>
    </x:font>
    <x:font>
      <x:sz val="10"/>
      <x:color rgb="FF008000"/>
      <x:name val="Arial"/>
    </x:font>
    <x:font>
      <x:sz val="10"/>
      <x:color rgb="FF000000"/>
      <x:name val="Arial"/>
    </x:font>
    <x:font>
      <x:sz val="10"/>
      <x:color rgb="FF0000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F0F2F5"/>
      </x:patternFill>
    </x:fill>
  </x:fills>
  <x:borders count="13">
    <x:border>
      <x:left/>
      <x:right/>
      <x:top/>
      <x:bottom/>
      <x:diagonal/>
    </x:border>
    <x:border>
      <x:left style="thin">
        <x:color rgb="FFBBC3CD"/>
      </x:left>
      <x:right style="thin">
        <x:color rgb="FFDDE2E7"/>
      </x:right>
      <x:top style="thin">
        <x:color rgb="FFBBC3CD"/>
      </x:top>
      <x:bottom/>
      <x:diagonal/>
    </x:border>
    <x:border>
      <x:left style="thin">
        <x:color rgb="FFDDE2E7"/>
      </x:left>
      <x:right style="thin">
        <x:color rgb="FFDDE2E7"/>
      </x:right>
      <x:top style="thin">
        <x:color rgb="FFBBC3CD"/>
      </x:top>
      <x:bottom/>
      <x:diagonal/>
    </x:border>
    <x:border>
      <x:left style="thin">
        <x:color rgb="FFDDE2E7"/>
      </x:left>
      <x:right style="thin">
        <x:color rgb="FFBBC3CD"/>
      </x:right>
      <x:top style="thin">
        <x:color rgb="FFBBC3CD"/>
      </x:top>
      <x:bottom/>
      <x:diagonal/>
    </x:border>
    <x:border>
      <x:left style="thin">
        <x:color rgb="FFBBC3CD"/>
      </x:left>
      <x:right style="thin">
        <x:color rgb="FFDDE2E7"/>
      </x:right>
      <x:top/>
      <x:bottom/>
      <x:diagonal/>
    </x:border>
    <x:border>
      <x:left style="thin">
        <x:color rgb="FFDDE2E7"/>
      </x:left>
      <x:right style="thin">
        <x:color rgb="FFDDE2E7"/>
      </x:right>
      <x:top/>
      <x:bottom/>
      <x:diagonal/>
    </x:border>
    <x:border>
      <x:left style="thin">
        <x:color rgb="FFDDE2E7"/>
      </x:left>
      <x:right style="thin">
        <x:color rgb="FFBBC3CD"/>
      </x:right>
      <x:top/>
      <x:bottom/>
      <x:diagonal/>
    </x:border>
    <x:border>
      <x:left style="thin">
        <x:color rgb="FFBBC3CD"/>
      </x:left>
      <x:right style="thin">
        <x:color rgb="FFDDE2E7"/>
      </x:right>
      <x:top/>
      <x:bottom style="thin">
        <x:color rgb="FFBBC3CD"/>
      </x:bottom>
      <x:diagonal/>
    </x:border>
    <x:border>
      <x:left style="thin">
        <x:color rgb="FFDDE2E7"/>
      </x:left>
      <x:right style="thin">
        <x:color rgb="FFDDE2E7"/>
      </x:right>
      <x:top/>
      <x:bottom style="thin">
        <x:color rgb="FFBBC3CD"/>
      </x:bottom>
      <x:diagonal/>
    </x:border>
    <x:border>
      <x:left style="thin">
        <x:color rgb="FFDDE2E7"/>
      </x:left>
      <x:right style="thin">
        <x:color rgb="FFBBC3CD"/>
      </x:right>
      <x:top/>
      <x:bottom style="thin">
        <x:color rgb="FFBBC3CD"/>
      </x:bottom>
      <x:diagonal/>
    </x:border>
    <x:border>
      <x:left style="thin">
        <x:color rgb="FFBBC3CD"/>
      </x:left>
      <x:right style="thin">
        <x:color rgb="FFDDE2E7"/>
      </x:right>
      <x:top style="thin">
        <x:color rgb="FFBBC3CD"/>
      </x:top>
      <x:bottom style="thin">
        <x:color rgb="FFBBC3CD"/>
      </x:bottom>
      <x:diagonal/>
    </x:border>
    <x:border>
      <x:left style="thin">
        <x:color rgb="FFDDE2E7"/>
      </x:left>
      <x:right style="thin">
        <x:color rgb="FFDDE2E7"/>
      </x:right>
      <x:top style="thin">
        <x:color rgb="FFBBC3CD"/>
      </x:top>
      <x:bottom style="thin">
        <x:color rgb="FFBBC3CD"/>
      </x:bottom>
      <x:diagonal/>
    </x:border>
    <x:border>
      <x:left style="thin">
        <x:color rgb="FFDDE2E7"/>
      </x:left>
      <x:right style="thin">
        <x:color rgb="FFBBC3CD"/>
      </x:right>
      <x:top style="thin">
        <x:color rgb="FFBBC3CD"/>
      </x:top>
      <x:bottom style="thin">
        <x:color rgb="FFBBC3CD"/>
      </x:bottom>
      <x:diagonal/>
    </x:border>
  </x:borders>
  <x:cellStyleXfs count="1">
    <x:xf numFmtId="0" fontId="0" fillId="0" borderId="0"/>
  </x:cellStyleXfs>
  <x:cellXfs count="4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1" xfId="0" applyNumberFormat="1" applyFont="1" applyFill="1" applyBorder="1" applyAlignment="1">
      <x:alignment vertical="top"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2" fillId="0" borderId="5" xfId="0" applyNumberFormat="1" applyFont="1" applyFill="1" applyBorder="1" applyAlignment="1">
      <x:alignment vertical="top" wrapText="1"/>
    </x:xf>
    <x:xf numFmtId="0" fontId="2" fillId="0" borderId="6" xfId="0" applyNumberFormat="1" applyFont="1" applyFill="1" applyBorder="1" applyAlignment="1">
      <x:alignment vertical="top" wrapText="1"/>
    </x:xf>
    <x:xf numFmtId="0" fontId="2" fillId="0" borderId="7" xfId="0" applyNumberFormat="1" applyFont="1" applyFill="1" applyBorder="1" applyAlignment="1">
      <x:alignment vertical="top" wrapText="1"/>
    </x:xf>
    <x:xf numFmtId="0" fontId="2" fillId="0" borderId="8" xfId="0" applyNumberFormat="1" applyFont="1" applyFill="1" applyBorder="1" applyAlignment="1">
      <x:alignment vertical="top" wrapText="1"/>
    </x:xf>
    <x:xf numFmtId="0" fontId="2" fillId="0" borderId="9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vertical="top" wrapText="1"/>
    </x:xf>
    <x:xf numFmtId="0" fontId="3" fillId="2" borderId="2" xfId="0" applyNumberFormat="1" applyFont="1" applyFill="1" applyBorder="1" applyAlignment="1">
      <x:alignment vertical="top" wrapText="1"/>
    </x:xf>
    <x:xf numFmtId="0" fontId="3" fillId="2" borderId="3" xfId="0" applyNumberFormat="1" applyFont="1" applyFill="1" applyBorder="1" applyAlignment="1">
      <x:alignment vertical="top" wrapText="1"/>
    </x:xf>
    <x:xf numFmtId="0" fontId="3" fillId="2" borderId="1" xfId="0" applyNumberFormat="1" applyFont="1" applyFill="1" applyBorder="1" applyAlignment="1">
      <x:alignment horizontal="center" vertical="top" wrapText="1"/>
    </x:xf>
    <x:xf numFmtId="0" fontId="3" fillId="2" borderId="2" xfId="0" applyNumberFormat="1" applyFont="1" applyFill="1" applyBorder="1" applyAlignment="1">
      <x:alignment horizontal="center" vertical="top" wrapText="1"/>
    </x:xf>
    <x:xf numFmtId="0" fontId="3" fillId="2" borderId="3" xfId="0" applyNumberFormat="1" applyFont="1" applyFill="1" applyBorder="1" applyAlignment="1">
      <x:alignment horizontal="center" vertical="top" wrapText="1"/>
    </x:xf>
    <x:xf numFmtId="0" fontId="3" fillId="2" borderId="10" xfId="0" applyNumberFormat="1" applyFont="1" applyFill="1" applyBorder="1" applyAlignment="1">
      <x:alignment horizontal="center" vertical="top" wrapText="1"/>
    </x:xf>
    <x:xf numFmtId="0" fontId="3" fillId="2" borderId="11" xfId="0" applyNumberFormat="1" applyFont="1" applyFill="1" applyBorder="1" applyAlignment="1">
      <x:alignment horizontal="center" vertical="top" wrapText="1"/>
    </x:xf>
    <x:xf numFmtId="0" fontId="3" fillId="2" borderId="12" xfId="0" applyNumberFormat="1" applyFont="1" applyFill="1" applyBorder="1" applyAlignment="1">
      <x:alignment horizontal="center" vertical="top" wrapText="1"/>
    </x:xf>
    <x:xf numFmtId="200" fontId="2" fillId="0" borderId="5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0" fontId="5" fillId="0" borderId="5" xfId="0" applyNumberFormat="1" applyFont="1" applyFill="1" applyBorder="1" applyAlignment="1">
      <x:alignment vertical="top" wrapText="1"/>
    </x:xf>
    <x:xf numFmtId="201" fontId="2" fillId="0" borderId="5" xfId="0" applyNumberFormat="1" applyFont="1" applyFill="1" applyBorder="1" applyAlignment="1">
      <x:alignment vertical="top" wrapText="1"/>
    </x:xf>
    <x:xf numFmtId="201" fontId="4" fillId="0" borderId="5" xfId="0" applyNumberFormat="1" applyFont="1" applyFill="1" applyBorder="1" applyAlignment="1">
      <x:alignment vertical="top" wrapText="1"/>
    </x:xf>
    <x:xf numFmtId="202" fontId="2" fillId="0" borderId="5" xfId="0" applyNumberFormat="1" applyFont="1" applyFill="1" applyBorder="1" applyAlignment="1">
      <x:alignment vertical="top" wrapText="1"/>
    </x:xf>
    <x:xf numFmtId="202" fontId="5" fillId="0" borderId="5" xfId="0" applyNumberFormat="1" applyFont="1" applyFill="1" applyBorder="1" applyAlignment="1">
      <x:alignment vertical="top" wrapText="1"/>
    </x:xf>
    <x:xf numFmtId="202" fontId="2" fillId="0" borderId="8" xfId="0" applyNumberFormat="1" applyFont="1" applyFill="1" applyBorder="1" applyAlignment="1">
      <x:alignment vertical="top" wrapText="1"/>
    </x:xf>
    <x:xf numFmtId="202" fontId="5" fillId="0" borderId="8" xfId="0" applyNumberFormat="1" applyFont="1" applyFill="1" applyBorder="1" applyAlignment="1">
      <x:alignment vertical="top" wrapText="1"/>
    </x:xf>
    <x:xf numFmtId="200" fontId="2" fillId="0" borderId="8" xfId="0" applyNumberFormat="1" applyFont="1" applyFill="1" applyBorder="1" applyAlignment="1">
      <x:alignment vertical="top" wrapText="1"/>
    </x:xf>
    <x:xf numFmtId="200" fontId="6" fillId="0" borderId="5" xfId="0" applyNumberFormat="1" applyFont="1" applyFill="1" applyBorder="1" applyAlignment="1">
      <x:alignment vertical="top" wrapText="1"/>
    </x:xf>
    <x:xf numFmtId="200" fontId="6" fillId="0" borderId="8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03f8f5b2de4c34" /><Relationship Type="http://schemas.openxmlformats.org/officeDocument/2006/relationships/theme" Target="/xl/theme/theme1.xml" Id="R728e50c78b8842cb" /><Relationship Type="http://schemas.openxmlformats.org/officeDocument/2006/relationships/sharedStrings" Target="/xl/sharedStrings.xml" Id="R6cf600c556e54dfd" /><Relationship Type="http://schemas.openxmlformats.org/officeDocument/2006/relationships/worksheet" Target="/xl/worksheets/sheet1.xml" Id="R7fa73168b81048cd" /><Relationship Type="http://schemas.openxmlformats.org/officeDocument/2006/relationships/worksheet" Target="/xl/worksheets/sheet2.xml" Id="R5e33c29768e346a9" /><Relationship Type="http://schemas.openxmlformats.org/officeDocument/2006/relationships/worksheet" Target="/xl/worksheets/sheet3.xml" Id="Rba9a8349e4fe473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 standalone="yes"?><Relationships xmlns="http://schemas.openxmlformats.org/package/2006/relationships"><Relationship Id="rIdSource1" Type="http://schemas.openxmlformats.org/officeDocument/2006/relationships/hyperlink" Target="https://www.sec.gov/Archives/edgar/data/59478/000005947826000081/lly-20260630.htm" TargetMode="External"/><Relationship Id="rIdSource2" Type="http://schemas.openxmlformats.org/officeDocument/2006/relationships/hyperlink" Target="https://www.sec.gov/Archives/edgar/data/59478/000005947826000081/lly-20260630.htm" TargetMode="External"/><Relationship Id="rIdSource3" Type="http://schemas.openxmlformats.org/officeDocument/2006/relationships/hyperlink" Target="https://www.sec.gov/Archives/edgar/data/59478/000005947826000081/lly-20260630.htm" TargetMode="External"/><Relationship Id="rIdSource4" Type="http://schemas.openxmlformats.org/officeDocument/2006/relationships/hyperlink" Target="https://www.sec.gov/Archives/edgar/data/59478/000005947826000081/lly-20260630.htm" TargetMode="External"/><Relationship Id="rIdSource5" Type="http://schemas.openxmlformats.org/officeDocument/2006/relationships/hyperlink" Target="https://www.sec.gov/Archives/edgar/data/59478/000005947826000081/lly-20260630.htm" TargetMode="External"/><Relationship Id="rIdSource6" Type="http://schemas.openxmlformats.org/officeDocument/2006/relationships/hyperlink" Target="https://www.sec.gov/Archives/edgar/data/59478/000005947826000013/lly-20251231.htm" TargetMode="External"/><Relationship Id="rIdSource7" Type="http://schemas.openxmlformats.org/officeDocument/2006/relationships/hyperlink" Target="https://www.sec.gov/Archives/edgar/data/59478/000005947826000081/lly-20260630.htm" TargetMode="External"/><Relationship Id="rIdSource8" Type="http://schemas.openxmlformats.org/officeDocument/2006/relationships/hyperlink" Target="https://www.sec.gov/Archives/edgar/data/59478/000005947826000081/lly-20260630.htm" TargetMode="External"/><Relationship Id="rIdSource9" Type="http://schemas.openxmlformats.org/officeDocument/2006/relationships/hyperlink" Target="https://www.sec.gov/Archives/edgar/data/59478/000005947826000013/lly-20251231.htm" TargetMode="External"/><Relationship Id="rIdSource10" Type="http://schemas.openxmlformats.org/officeDocument/2006/relationships/hyperlink" Target="https://www.sec.gov/Archives/edgar/data/59478/000005947826000081/lly-20260630.htm" TargetMode="External"/><Relationship Id="rIdSource11" Type="http://schemas.openxmlformats.org/officeDocument/2006/relationships/hyperlink" Target="https://www.sec.gov/Archives/edgar/data/59478/000005947826000081/lly-20260630.htm" TargetMode="External"/><Relationship Id="rIdSource12" Type="http://schemas.openxmlformats.org/officeDocument/2006/relationships/hyperlink" Target="https://www.sec.gov/Archives/edgar/data/1341439/000119312526389274/orcl-20260831.htm" TargetMode="External"/><Relationship Id="rIdSource13" Type="http://schemas.openxmlformats.org/officeDocument/2006/relationships/hyperlink" Target="https://www.sec.gov/Archives/edgar/data/1341439/000119312526389274/orcl-20260831.htm" TargetMode="External"/><Relationship Id="rIdSource14" Type="http://schemas.openxmlformats.org/officeDocument/2006/relationships/hyperlink" Target="https://www.sec.gov/Archives/edgar/data/1341439/000119312526389274/orcl-20260831.htm" TargetMode="External"/><Relationship Id="rIdSource15" Type="http://schemas.openxmlformats.org/officeDocument/2006/relationships/hyperlink" Target="https://www.sec.gov/Archives/edgar/data/1341439/000119312526389274/orcl-20260831.htm" TargetMode="External"/><Relationship Id="rIdSource16" Type="http://schemas.openxmlformats.org/officeDocument/2006/relationships/hyperlink" Target="https://www.sec.gov/Archives/edgar/data/1341439/000119312526389274/orcl-20260831.htm" TargetMode="External"/><Relationship Id="rIdSource17" Type="http://schemas.openxmlformats.org/officeDocument/2006/relationships/hyperlink" Target="https://www.sec.gov/Archives/edgar/data/1341439/000119312526277521/orcl-20260531.htm" TargetMode="External"/><Relationship Id="rIdSource18" Type="http://schemas.openxmlformats.org/officeDocument/2006/relationships/hyperlink" Target="https://www.sec.gov/Archives/edgar/data/1341439/000119312526389274/orcl-20260831.htm" TargetMode="External"/><Relationship Id="rIdSource19" Type="http://schemas.openxmlformats.org/officeDocument/2006/relationships/hyperlink" Target="https://www.sec.gov/Archives/edgar/data/1341439/000119312526389274/orcl-20260831.htm" TargetMode="External"/><Relationship Id="rIdSource20" Type="http://schemas.openxmlformats.org/officeDocument/2006/relationships/hyperlink" Target="https://www.sec.gov/Archives/edgar/data/1341439/000119312526277521/orcl-20260531.htm" TargetMode="External"/><Relationship Id="rIdSource21" Type="http://schemas.openxmlformats.org/officeDocument/2006/relationships/hyperlink" Target="https://www.sec.gov/Archives/edgar/data/1341439/000119312526389274/orcl-20260831.htm" TargetMode="External"/><Relationship Id="rIdSource22" Type="http://schemas.openxmlformats.org/officeDocument/2006/relationships/hyperlink" Target="https://www.sec.gov/Archives/edgar/data/1341439/000119312526389274/orcl-20260831.htm" TargetMode="External"/><Relationship Id="rIdSource23" Type="http://schemas.openxmlformats.org/officeDocument/2006/relationships/hyperlink" Target="https://www.sec.gov/Archives/edgar/data/1692819/000169281926000019/vistra-20260630.htm" TargetMode="External"/><Relationship Id="rIdSource24" Type="http://schemas.openxmlformats.org/officeDocument/2006/relationships/hyperlink" Target="https://www.sec.gov/Archives/edgar/data/1692819/000169281926000019/vistra-20260630.htm" TargetMode="External"/><Relationship Id="rIdSource25" Type="http://schemas.openxmlformats.org/officeDocument/2006/relationships/hyperlink" Target="https://www.sec.gov/Archives/edgar/data/1692819/000169281926000019/vistra-20260630.htm" TargetMode="External"/><Relationship Id="rIdSource26" Type="http://schemas.openxmlformats.org/officeDocument/2006/relationships/hyperlink" Target="https://www.sec.gov/Archives/edgar/data/1692819/000169281926000019/vistra-20260630.htm" TargetMode="External"/><Relationship Id="rIdSource27" Type="http://schemas.openxmlformats.org/officeDocument/2006/relationships/hyperlink" Target="https://www.sec.gov/Archives/edgar/data/1692819/000169281926000019/vistra-20260630.htm" TargetMode="External"/><Relationship Id="rIdSource28" Type="http://schemas.openxmlformats.org/officeDocument/2006/relationships/hyperlink" Target="https://www.sec.gov/Archives/edgar/data/1692819/000169281926000019/vistra-20260630.htm" TargetMode="External"/><Relationship Id="rIdSource29" Type="http://schemas.openxmlformats.org/officeDocument/2006/relationships/hyperlink" Target="https://www.sec.gov/Archives/edgar/data/1692819/000169281926000019/vistra-20260630.htm" TargetMode="External"/><Relationship Id="rIdSource30" Type="http://schemas.openxmlformats.org/officeDocument/2006/relationships/hyperlink" Target="https://www.sec.gov/Archives/edgar/data/1692819/000169281926000006/vistra-20251231.htm" TargetMode="External"/><Relationship Id="rIdSource31" Type="http://schemas.openxmlformats.org/officeDocument/2006/relationships/hyperlink" Target="https://www.sec.gov/Archives/edgar/data/1692819/000169281926000019/vistra-20260630.htm" TargetMode="External"/><Relationship Id="rIdSource32" Type="http://schemas.openxmlformats.org/officeDocument/2006/relationships/hyperlink" Target="https://www.sec.gov/Archives/edgar/data/1692819/000169281926000019/vistra-20260630.htm" TargetMode="External"/><Relationship Id="rIdSource33" Type="http://schemas.openxmlformats.org/officeDocument/2006/relationships/hyperlink" Target="https://www.sec.gov/Archives/edgar/data/1692819/000169281926000006/vistra-20251231.htm" TargetMode="External"/><Relationship Id="rIdSource34" Type="http://schemas.openxmlformats.org/officeDocument/2006/relationships/hyperlink" Target="https://www.sec.gov/Archives/edgar/data/1692819/000169281926000019/vistra-20260630.htm" TargetMode="External"/><Relationship Id="rIdSource35" Type="http://schemas.openxmlformats.org/officeDocument/2006/relationships/hyperlink" Target="https://www.sec.gov/Archives/edgar/data/1692819/000169281926000019/vistra-20260630.htm" TargetMode="External"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36" hidden="0" customWidth="1"/>
    <x:col min="3" max="3" width="20" hidden="0" customWidth="1"/>
    <x:col min="4" max="4" width="28" hidden="0" customWidth="1"/>
    <x:col min="5" max="5" width="18" hidden="0" customWidth="1"/>
    <x:col min="6" max="6" width="55" hidden="0" customWidth="1"/>
    <x:col min="7" max="7" width="18" hidden="0" customWidth="1"/>
    <x:col min="8" max="8" width="80" hidden="0" customWidth="1"/>
  </x:cols>
  <x:sheetData>
    <x:row r="1" ht="48" customHeight="1">
      <x:c r="A1" s="23" t="str">
        <x:v>Ticker</x:v>
      </x:c>
      <x:c r="B1" s="24" t="str">
        <x:v>Metric</x:v>
      </x:c>
      <x:c r="C1" s="24" t="str">
        <x:v>Value</x:v>
      </x:c>
      <x:c r="D1" s="24" t="str">
        <x:v>Unit</x:v>
      </x:c>
      <x:c r="E1" s="24" t="str">
        <x:v>Period end</x:v>
      </x:c>
      <x:c r="F1" s="24" t="str">
        <x:v>Formula</x:v>
      </x:c>
      <x:c r="G1" s="24" t="str">
        <x:v>Status</x:v>
      </x:c>
      <x:c r="H1" s="25" t="str">
        <x:v>Notes</x:v>
      </x:c>
    </x:row>
    <x:row r="2" ht="48" customHeight="1">
      <x:c r="A2" s="8" t="str">
        <x:v>LLY</x:v>
      </x:c>
      <x:c r="B2" s="9" t="str">
        <x:v>Cash and cash equivalents</x:v>
      </x:c>
      <x:c r="C2" s="27" t="n">
        <x:f>'Liquidity inputs'!D2</x:f>
        <x:v>8950000000</x:v>
      </x:c>
      <x:c r="D2" s="9" t="str">
        <x:v>USD (displayed in millions)</x:v>
      </x:c>
      <x:c r="E2" s="9" t="str">
        <x:v>2026-06-30</x:v>
      </x:c>
      <x:c r="F2" s="9" t="str">
        <x:v>us-gaap:CashAndCashEquivalentsAtCarryingValue</x:v>
      </x:c>
      <x:c r="G2" s="9" t="str">
        <x:v>Reported</x:v>
      </x:c>
      <x:c r="H2" s="10"/>
    </x:row>
    <x:row r="3" ht="48" customHeight="1">
      <x:c r="A3" s="8" t="str">
        <x:v>LLY</x:v>
      </x:c>
      <x:c r="B3" s="9" t="str">
        <x:v>Baseline gross debt</x:v>
      </x:c>
      <x:c r="C3" s="27" t="n">
        <x:f>'Liquidity inputs'!D3+'Liquidity inputs'!D4</x:f>
        <x:v>54908000000</x:v>
      </x:c>
      <x:c r="D3" s="9" t="str">
        <x:v>USD (displayed in millions)</x:v>
      </x:c>
      <x:c r="E3" s="9" t="str">
        <x:v>2026-06-30</x:v>
      </x:c>
      <x:c r="F3" s="9" t="str">
        <x:v>DebtCurrent + LongTermDebtNoncurrent</x:v>
      </x:c>
      <x:c r="G3" s="9" t="str">
        <x:v>Calculated</x:v>
      </x:c>
      <x:c r="H3" s="10" t="str">
        <x:v>In this 10-Q, the Note 8 fair-value table's carrying amounts (commercial paper 5,284M plus long-term debt including current portion 49,624M) present the same 54,908M; they are not added.; Excluded: fair-value-table carrying amounts of the same borrowings (commercial paper, long-term debt)</x:v>
      </x:c>
    </x:row>
    <x:row r="4" ht="48" customHeight="1">
      <x:c r="A4" s="8" t="str">
        <x:v>LLY</x:v>
      </x:c>
      <x:c r="B4" s="9" t="str">
        <x:v>Net debt</x:v>
      </x:c>
      <x:c r="C4" s="28" t="n">
        <x:f>C3-C2</x:f>
        <x:v>45958000000</x:v>
      </x:c>
      <x:c r="D4" s="9" t="str">
        <x:v>USD (displayed in millions)</x:v>
      </x:c>
      <x:c r="E4" s="9" t="str">
        <x:v>2026-06-30</x:v>
      </x:c>
      <x:c r="F4" s="9" t="str">
        <x:v>Baseline gross debt - cash and cash equivalents</x:v>
      </x:c>
      <x:c r="G4" s="9" t="str">
        <x:v>Calculated</x:v>
      </x:c>
      <x:c r="H4" s="10"/>
    </x:row>
    <x:row r="5" ht="48" customHeight="1">
      <x:c r="A5" s="8" t="str">
        <x:v>LLY</x:v>
      </x:c>
      <x:c r="B5" s="9" t="str">
        <x:v>Current ratio</x:v>
      </x:c>
      <x:c r="C5" s="30" t="n">
        <x:f>'Liquidity inputs'!D5/'Liquidity inputs'!D6</x:f>
        <x:v>1.3546427598919168</x:v>
      </x:c>
      <x:c r="D5" s="9" t="str">
        <x:v>ratio</x:v>
      </x:c>
      <x:c r="E5" s="9" t="str">
        <x:v>2026-06-30</x:v>
      </x:c>
      <x:c r="F5" s="9" t="str">
        <x:v>AssetsCurrent / LiabilitiesCurrent</x:v>
      </x:c>
      <x:c r="G5" s="9" t="str">
        <x:v>Calculated</x:v>
      </x:c>
      <x:c r="H5" s="10"/>
    </x:row>
    <x:row r="6" ht="48" customHeight="1">
      <x:c r="A6" s="8" t="str">
        <x:v>LLY</x:v>
      </x:c>
      <x:c r="B6" s="9" t="str">
        <x:v>Operating cash flow</x:v>
      </x:c>
      <x:c r="C6" s="27" t="n">
        <x:f>'Liquidity inputs'!D7+'Liquidity inputs'!D8-'Liquidity inputs'!D9</x:f>
        <x:v>28083000000</x:v>
      </x:c>
      <x:c r="D6" s="9" t="str">
        <x:v>USD (displayed in millions)</x:v>
      </x:c>
      <x:c r="E6" s="9" t="str">
        <x:v>2026-06-30</x:v>
      </x:c>
      <x:c r="F6" s="9" t="str">
        <x:v>Fiscal year + current YTD - prior YTD</x:v>
      </x:c>
      <x:c r="G6" s="9" t="str">
        <x:v>Calculated</x:v>
      </x:c>
      <x:c r="H6" s="10"/>
    </x:row>
    <x:row r="7" ht="48" customHeight="1">
      <x:c r="A7" s="8" t="str">
        <x:v>LLY</x:v>
      </x:c>
      <x:c r="B7" s="9" t="str">
        <x:v>Purchases of property and equipment</x:v>
      </x:c>
      <x:c r="C7" s="27" t="n">
        <x:f>'Liquidity inputs'!D10+'Liquidity inputs'!D11-'Liquidity inputs'!D12</x:f>
        <x:v>9893000000</x:v>
      </x:c>
      <x:c r="D7" s="9" t="str">
        <x:v>USD (displayed in millions)</x:v>
      </x:c>
      <x:c r="E7" s="9" t="str">
        <x:v>2026-06-30</x:v>
      </x:c>
      <x:c r="F7" s="9" t="str">
        <x:v>Fiscal year + current YTD - prior YTD</x:v>
      </x:c>
      <x:c r="G7" s="9" t="str">
        <x:v>Calculated</x:v>
      </x:c>
      <x:c r="H7" s="10"/>
    </x:row>
    <x:row r="8" ht="48" customHeight="1">
      <x:c r="A8" s="8" t="str">
        <x:v>LLY</x:v>
      </x:c>
      <x:c r="B8" s="9" t="str">
        <x:v>Free cash flow</x:v>
      </x:c>
      <x:c r="C8" s="28" t="n">
        <x:f>C6-C7</x:f>
        <x:v>18190000000</x:v>
      </x:c>
      <x:c r="D8" s="9" t="str">
        <x:v>USD (displayed in millions)</x:v>
      </x:c>
      <x:c r="E8" s="9" t="str">
        <x:v>2026-06-30</x:v>
      </x:c>
      <x:c r="F8" s="9" t="str">
        <x:v>Operating cash flow - reported capital spending</x:v>
      </x:c>
      <x:c r="G8" s="9" t="str">
        <x:v>Calculated</x:v>
      </x:c>
      <x:c r="H8" s="10" t="str">
        <x:v>Reported purchases of property and equipment; excludes acquisitions and other investing cash flows.</x:v>
      </x:c>
    </x:row>
    <x:row r="9" ht="48" customHeight="1">
      <x:c r="A9" s="8" t="str">
        <x:v>LLY</x:v>
      </x:c>
      <x:c r="B9" s="9" t="str">
        <x:v>Operating cash flow / debt</x:v>
      </x:c>
      <x:c r="C9" s="32" t="n">
        <x:f>C6/C3</x:f>
        <x:v>0.511455525606469</x:v>
      </x:c>
      <x:c r="D9" s="9" t="str">
        <x:v>fraction (displayed as %)</x:v>
      </x:c>
      <x:c r="E9" s="9" t="str">
        <x:v>2026-06-30</x:v>
      </x:c>
      <x:c r="F9" s="9" t="str">
        <x:v>TTM operating cash flow / period-end baseline gross debt</x:v>
      </x:c>
      <x:c r="G9" s="9" t="str">
        <x:v>Calculated</x:v>
      </x:c>
      <x:c r="H9" s="10"/>
    </x:row>
    <x:row r="10" ht="48" customHeight="1">
      <x:c r="A10" s="8" t="str">
        <x:v>LLY</x:v>
      </x:c>
      <x:c r="B10" s="9" t="str">
        <x:v>Free cash flow / debt</x:v>
      </x:c>
      <x:c r="C10" s="32" t="n">
        <x:f>C8/C3</x:f>
        <x:v>0.33128141618707657</x:v>
      </x:c>
      <x:c r="D10" s="9" t="str">
        <x:v>fraction (displayed as %)</x:v>
      </x:c>
      <x:c r="E10" s="9" t="str">
        <x:v>2026-06-30</x:v>
      </x:c>
      <x:c r="F10" s="9" t="str">
        <x:v>TTM free cash flow / period-end baseline gross debt</x:v>
      </x:c>
      <x:c r="G10" s="9" t="str">
        <x:v>Calculated</x:v>
      </x:c>
      <x:c r="H10" s="10"/>
    </x:row>
    <x:row r="11" ht="48" customHeight="1">
      <x:c r="A11" s="8" t="str">
        <x:v>ORCL</x:v>
      </x:c>
      <x:c r="B11" s="9" t="str">
        <x:v>Cash and cash equivalents</x:v>
      </x:c>
      <x:c r="C11" s="27" t="n">
        <x:f>'Liquidity inputs'!D13</x:f>
        <x:v>36369000000</x:v>
      </x:c>
      <x:c r="D11" s="9" t="str">
        <x:v>USD (displayed in millions)</x:v>
      </x:c>
      <x:c r="E11" s="9" t="str">
        <x:v>2026-08-31</x:v>
      </x:c>
      <x:c r="F11" s="9" t="str">
        <x:v>us-gaap:CashAndCashEquivalentsAtCarryingValue</x:v>
      </x:c>
      <x:c r="G11" s="9" t="str">
        <x:v>Reported</x:v>
      </x:c>
      <x:c r="H11" s="10"/>
    </x:row>
    <x:row r="12" ht="48" customHeight="1">
      <x:c r="A12" s="8" t="str">
        <x:v>ORCL</x:v>
      </x:c>
      <x:c r="B12" s="9" t="str">
        <x:v>Baseline gross debt</x:v>
      </x:c>
      <x:c r="C12" s="27" t="n">
        <x:f>'Liquidity inputs'!D14+'Liquidity inputs'!D15</x:f>
        <x:v>125337000000</x:v>
      </x:c>
      <x:c r="D12" s="9" t="str">
        <x:v>USD (displayed in millions)</x:v>
      </x:c>
      <x:c r="E12" s="9" t="str">
        <x:v>2026-08-31</x:v>
      </x:c>
      <x:c r="F12" s="9" t="str">
        <x:v>NotesPayableCurrent + LongTermNotesAndLoans</x:v>
      </x:c>
      <x:c r="G12" s="9" t="str">
        <x:v>Calculated</x:v>
      </x:c>
      <x:c r="H12" s="10" t="str">
        <x:v>This 10-Q does not split the total by instrument: commercial paper at Aug 31, 2026 is Unavailable and is not inferred from the total.; This 10-Q's rounded $125.0 billion of senior notes and other long-term borrowings is a narrower subset of the same debt; it is not added.; Short-term financing related to capital expenditures: no balance is disclosed in this 10-Q (Unavailable); its cash-flow amounts are not added.; Excluded: rounded fair-value disclosures of borrowings, operating and finance lease liabilities, and cash-flow amounts for short-term financing related to capital expenditures</x:v>
      </x:c>
    </x:row>
    <x:row r="13" ht="48" customHeight="1">
      <x:c r="A13" s="8" t="str">
        <x:v>ORCL</x:v>
      </x:c>
      <x:c r="B13" s="9" t="str">
        <x:v>Net debt</x:v>
      </x:c>
      <x:c r="C13" s="28" t="n">
        <x:f>C12-C11</x:f>
        <x:v>88968000000</x:v>
      </x:c>
      <x:c r="D13" s="9" t="str">
        <x:v>USD (displayed in millions)</x:v>
      </x:c>
      <x:c r="E13" s="9" t="str">
        <x:v>2026-08-31</x:v>
      </x:c>
      <x:c r="F13" s="9" t="str">
        <x:v>Baseline gross debt - cash and cash equivalents</x:v>
      </x:c>
      <x:c r="G13" s="9" t="str">
        <x:v>Calculated</x:v>
      </x:c>
      <x:c r="H13" s="10"/>
    </x:row>
    <x:row r="14" ht="48" customHeight="1">
      <x:c r="A14" s="8" t="str">
        <x:v>ORCL</x:v>
      </x:c>
      <x:c r="B14" s="9" t="str">
        <x:v>Current ratio</x:v>
      </x:c>
      <x:c r="C14" s="30" t="n">
        <x:f>'Liquidity inputs'!D16/'Liquidity inputs'!D17</x:f>
        <x:v>1.1708128130656228</x:v>
      </x:c>
      <x:c r="D14" s="9" t="str">
        <x:v>ratio</x:v>
      </x:c>
      <x:c r="E14" s="9" t="str">
        <x:v>2026-08-31</x:v>
      </x:c>
      <x:c r="F14" s="9" t="str">
        <x:v>AssetsCurrent / LiabilitiesCurrent</x:v>
      </x:c>
      <x:c r="G14" s="9" t="str">
        <x:v>Calculated</x:v>
      </x:c>
      <x:c r="H14" s="10"/>
    </x:row>
    <x:row r="15" ht="48" customHeight="1">
      <x:c r="A15" s="8" t="str">
        <x:v>ORCL</x:v>
      </x:c>
      <x:c r="B15" s="9" t="str">
        <x:v>Operating cash flow</x:v>
      </x:c>
      <x:c r="C15" s="27" t="n">
        <x:f>'Liquidity inputs'!D18+'Liquidity inputs'!D19-'Liquidity inputs'!D20</x:f>
        <x:v>46940000000</x:v>
      </x:c>
      <x:c r="D15" s="9" t="str">
        <x:v>USD (displayed in millions)</x:v>
      </x:c>
      <x:c r="E15" s="9" t="str">
        <x:v>2026-08-31</x:v>
      </x:c>
      <x:c r="F15" s="9" t="str">
        <x:v>Fiscal year + current YTD - prior YTD</x:v>
      </x:c>
      <x:c r="G15" s="9" t="str">
        <x:v>Calculated</x:v>
      </x:c>
      <x:c r="H15" s="10"/>
    </x:row>
    <x:row r="16" ht="48" customHeight="1">
      <x:c r="A16" s="8" t="str">
        <x:v>ORCL</x:v>
      </x:c>
      <x:c r="B16" s="9" t="str">
        <x:v>Capital expenditures</x:v>
      </x:c>
      <x:c r="C16" s="27" t="n">
        <x:f>'Liquidity inputs'!D21+'Liquidity inputs'!D22-'Liquidity inputs'!D23</x:f>
        <x:v>75660000000</x:v>
      </x:c>
      <x:c r="D16" s="9" t="str">
        <x:v>USD (displayed in millions)</x:v>
      </x:c>
      <x:c r="E16" s="9" t="str">
        <x:v>2026-08-31</x:v>
      </x:c>
      <x:c r="F16" s="9" t="str">
        <x:v>Fiscal year + current YTD - prior YTD</x:v>
      </x:c>
      <x:c r="G16" s="9" t="str">
        <x:v>Calculated</x:v>
      </x:c>
      <x:c r="H16" s="10"/>
    </x:row>
    <x:row r="17" ht="48" customHeight="1">
      <x:c r="A17" s="8" t="str">
        <x:v>ORCL</x:v>
      </x:c>
      <x:c r="B17" s="9" t="str">
        <x:v>Free cash flow</x:v>
      </x:c>
      <x:c r="C17" s="28" t="n">
        <x:f>C15-C16</x:f>
        <x:v>-28720000000</x:v>
      </x:c>
      <x:c r="D17" s="9" t="str">
        <x:v>USD (displayed in millions)</x:v>
      </x:c>
      <x:c r="E17" s="9" t="str">
        <x:v>2026-08-31</x:v>
      </x:c>
      <x:c r="F17" s="9" t="str">
        <x:v>Operating cash flow - reported capital spending</x:v>
      </x:c>
      <x:c r="G17" s="9" t="str">
        <x:v>Calculated</x:v>
      </x:c>
      <x:c r="H17" s="10" t="str">
        <x:v>Operating cash flow includes $11.4B of customer prepayments received in the quarter ended Aug 31, 2026 (10-Q p. 7 and MD&amp;A pp. 33–34). Capital expenditures are cash payments; financing cash flows are not added.</x:v>
      </x:c>
    </x:row>
    <x:row r="18" ht="48" customHeight="1">
      <x:c r="A18" s="8" t="str">
        <x:v>ORCL</x:v>
      </x:c>
      <x:c r="B18" s="9" t="str">
        <x:v>Operating cash flow / debt</x:v>
      </x:c>
      <x:c r="C18" s="32" t="n">
        <x:f>C15/C12</x:f>
        <x:v>0.37451032017680336</x:v>
      </x:c>
      <x:c r="D18" s="9" t="str">
        <x:v>fraction (displayed as %)</x:v>
      </x:c>
      <x:c r="E18" s="9" t="str">
        <x:v>2026-08-31</x:v>
      </x:c>
      <x:c r="F18" s="9" t="str">
        <x:v>TTM operating cash flow / period-end baseline gross debt</x:v>
      </x:c>
      <x:c r="G18" s="9" t="str">
        <x:v>Calculated</x:v>
      </x:c>
      <x:c r="H18" s="10"/>
    </x:row>
    <x:row r="19" ht="48" customHeight="1">
      <x:c r="A19" s="8" t="str">
        <x:v>ORCL</x:v>
      </x:c>
      <x:c r="B19" s="9" t="str">
        <x:v>Free cash flow / debt</x:v>
      </x:c>
      <x:c r="C19" s="32" t="n">
        <x:f>C17/C12</x:f>
        <x:v>-0.22914223254106927</x:v>
      </x:c>
      <x:c r="D19" s="9" t="str">
        <x:v>fraction (displayed as %)</x:v>
      </x:c>
      <x:c r="E19" s="9" t="str">
        <x:v>2026-08-31</x:v>
      </x:c>
      <x:c r="F19" s="9" t="str">
        <x:v>TTM free cash flow / period-end baseline gross debt</x:v>
      </x:c>
      <x:c r="G19" s="9" t="str">
        <x:v>Calculated</x:v>
      </x:c>
      <x:c r="H19" s="10"/>
    </x:row>
    <x:row r="20" ht="48" customHeight="1">
      <x:c r="A20" s="8" t="str">
        <x:v>VST</x:v>
      </x:c>
      <x:c r="B20" s="9" t="str">
        <x:v>Cash and cash equivalents</x:v>
      </x:c>
      <x:c r="C20" s="27" t="n">
        <x:f>'Liquidity inputs'!D24</x:f>
        <x:v>435000000</x:v>
      </x:c>
      <x:c r="D20" s="9" t="str">
        <x:v>USD (displayed in millions)</x:v>
      </x:c>
      <x:c r="E20" s="9" t="str">
        <x:v>2026-06-30</x:v>
      </x:c>
      <x:c r="F20" s="9" t="str">
        <x:v>us-gaap:CashAndCashEquivalentsAtCarryingValue</x:v>
      </x:c>
      <x:c r="G20" s="9" t="str">
        <x:v>Reported</x:v>
      </x:c>
      <x:c r="H20" s="10"/>
    </x:row>
    <x:row r="21" ht="48" customHeight="1">
      <x:c r="A21" s="8" t="str">
        <x:v>VST</x:v>
      </x:c>
      <x:c r="B21" s="9" t="str">
        <x:v>Baseline gross debt</x:v>
      </x:c>
      <x:c r="C21" s="27" t="n">
        <x:f>'Liquidity inputs'!D25+'Liquidity inputs'!D26+'Liquidity inputs'!D27+'Liquidity inputs'!D28</x:f>
        <x:v>19895000000</x:v>
      </x:c>
      <x:c r="D21" s="9" t="str">
        <x:v>USD (displayed in millions)</x:v>
      </x:c>
      <x:c r="E21" s="9" t="str">
        <x:v>2026-06-30</x:v>
      </x:c>
      <x:c r="F21" s="9" t="str">
        <x:v>LongTermDebtAndCapitalLeaseObligationsCurrent + LongTermDebtAndCapitalLeaseObligations + ShortTermBorrowings + vistra:AccountsReceivableSecuritizationProgramAmountsBorrowed</x:v>
      </x:c>
      <x:c r="G21" s="9" t="str">
        <x:v>Calculated</x:v>
      </x:c>
      <x:c r="H21" s="10" t="str">
        <x:v>Excluded: lease liabilities, the forward repurchase obligation, margin deposits financing with affiliate, and project-level debt again (it is already inside long-term debt)</x:v>
      </x:c>
    </x:row>
    <x:row r="22" ht="48" customHeight="1">
      <x:c r="A22" s="8" t="str">
        <x:v>VST</x:v>
      </x:c>
      <x:c r="B22" s="9" t="str">
        <x:v>Net debt</x:v>
      </x:c>
      <x:c r="C22" s="28" t="n">
        <x:f>C21-C20</x:f>
        <x:v>19460000000</x:v>
      </x:c>
      <x:c r="D22" s="9" t="str">
        <x:v>USD (displayed in millions)</x:v>
      </x:c>
      <x:c r="E22" s="9" t="str">
        <x:v>2026-06-30</x:v>
      </x:c>
      <x:c r="F22" s="9" t="str">
        <x:v>Baseline gross debt - cash and cash equivalents</x:v>
      </x:c>
      <x:c r="G22" s="9" t="str">
        <x:v>Calculated</x:v>
      </x:c>
      <x:c r="H22" s="10"/>
    </x:row>
    <x:row r="23" ht="48" customHeight="1">
      <x:c r="A23" s="8" t="str">
        <x:v>VST</x:v>
      </x:c>
      <x:c r="B23" s="9" t="str">
        <x:v>Current ratio</x:v>
      </x:c>
      <x:c r="C23" s="30" t="n">
        <x:f>'Liquidity inputs'!D29/'Liquidity inputs'!D30</x:f>
        <x:v>0.9733825897508762</x:v>
      </x:c>
      <x:c r="D23" s="9" t="str">
        <x:v>ratio</x:v>
      </x:c>
      <x:c r="E23" s="9" t="str">
        <x:v>2026-06-30</x:v>
      </x:c>
      <x:c r="F23" s="9" t="str">
        <x:v>AssetsCurrent / LiabilitiesCurrent</x:v>
      </x:c>
      <x:c r="G23" s="9" t="str">
        <x:v>Calculated</x:v>
      </x:c>
      <x:c r="H23" s="10"/>
    </x:row>
    <x:row r="24" ht="48" customHeight="1">
      <x:c r="A24" s="8" t="str">
        <x:v>VST</x:v>
      </x:c>
      <x:c r="B24" s="9" t="str">
        <x:v>Operating cash flow</x:v>
      </x:c>
      <x:c r="C24" s="27" t="n">
        <x:f>'Liquidity inputs'!D31+'Liquidity inputs'!D32-'Liquidity inputs'!D33</x:f>
        <x:v>5121000000</x:v>
      </x:c>
      <x:c r="D24" s="9" t="str">
        <x:v>USD (displayed in millions)</x:v>
      </x:c>
      <x:c r="E24" s="9" t="str">
        <x:v>2026-06-30</x:v>
      </x:c>
      <x:c r="F24" s="9" t="str">
        <x:v>Fiscal year + current YTD - prior YTD</x:v>
      </x:c>
      <x:c r="G24" s="9" t="str">
        <x:v>Calculated</x:v>
      </x:c>
      <x:c r="H24" s="10"/>
    </x:row>
    <x:row r="25" ht="48" customHeight="1">
      <x:c r="A25" s="8" t="str">
        <x:v>VST</x:v>
      </x:c>
      <x:c r="B25" s="9" t="str">
        <x:v>Capital expenditures, including nuclear fuel and LTSA prepayments</x:v>
      </x:c>
      <x:c r="C25" s="27" t="n">
        <x:f>'Liquidity inputs'!D34+'Liquidity inputs'!D35-'Liquidity inputs'!D36</x:f>
        <x:v>2866000000</x:v>
      </x:c>
      <x:c r="D25" s="9" t="str">
        <x:v>USD (displayed in millions)</x:v>
      </x:c>
      <x:c r="E25" s="9" t="str">
        <x:v>2026-06-30</x:v>
      </x:c>
      <x:c r="F25" s="9" t="str">
        <x:v>Fiscal year + current YTD - prior YTD</x:v>
      </x:c>
      <x:c r="G25" s="9" t="str">
        <x:v>Calculated</x:v>
      </x:c>
      <x:c r="H25" s="10"/>
    </x:row>
    <x:row r="26" ht="48" customHeight="1">
      <x:c r="A26" s="8" t="str">
        <x:v>VST</x:v>
      </x:c>
      <x:c r="B26" s="9" t="str">
        <x:v>Free cash flow</x:v>
      </x:c>
      <x:c r="C26" s="28" t="n">
        <x:f>C24-C25</x:f>
        <x:v>2255000000</x:v>
      </x:c>
      <x:c r="D26" s="9" t="str">
        <x:v>USD (displayed in millions)</x:v>
      </x:c>
      <x:c r="E26" s="9" t="str">
        <x:v>2026-06-30</x:v>
      </x:c>
      <x:c r="F26" s="9" t="str">
        <x:v>Operating cash flow - reported capital spending</x:v>
      </x:c>
      <x:c r="G26" s="9" t="str">
        <x:v>Calculated</x:v>
      </x:c>
      <x:c r="H26" s="10" t="str">
        <x:v>The reported capex line includes nuclear fuel purchases and long-term service agreement (LTSA) prepayments. It is used as reported; acquisitions and other investing cash flows are excluded.</x:v>
      </x:c>
    </x:row>
    <x:row r="27" ht="48" customHeight="1">
      <x:c r="A27" s="8" t="str">
        <x:v>VST</x:v>
      </x:c>
      <x:c r="B27" s="9" t="str">
        <x:v>Operating cash flow / debt</x:v>
      </x:c>
      <x:c r="C27" s="32" t="n">
        <x:f>C24/C21</x:f>
        <x:v>0.25740135712490575</x:v>
      </x:c>
      <x:c r="D27" s="9" t="str">
        <x:v>fraction (displayed as %)</x:v>
      </x:c>
      <x:c r="E27" s="9" t="str">
        <x:v>2026-06-30</x:v>
      </x:c>
      <x:c r="F27" s="9" t="str">
        <x:v>TTM operating cash flow / period-end baseline gross debt</x:v>
      </x:c>
      <x:c r="G27" s="9" t="str">
        <x:v>Calculated</x:v>
      </x:c>
      <x:c r="H27" s="10"/>
    </x:row>
    <x:row r="28" ht="48" customHeight="1">
      <x:c r="A28" s="11" t="str">
        <x:v>VST</x:v>
      </x:c>
      <x:c r="B28" s="12" t="str">
        <x:v>Free cash flow / debt</x:v>
      </x:c>
      <x:c r="C28" s="34" t="n">
        <x:f>C26/C21</x:f>
        <x:v>0.11334506157325962</x:v>
      </x:c>
      <x:c r="D28" s="12" t="str">
        <x:v>fraction (displayed as %)</x:v>
      </x:c>
      <x:c r="E28" s="12" t="str">
        <x:v>2026-06-30</x:v>
      </x:c>
      <x:c r="F28" s="12" t="str">
        <x:v>TTM free cash flow / period-end baseline gross debt</x:v>
      </x:c>
      <x:c r="G28" s="12" t="str">
        <x:v>Calculated</x:v>
      </x:c>
      <x:c r="H28" s="1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0" hidden="0" customWidth="1"/>
    <x:col min="2" max="2" width="33" hidden="0" customWidth="1"/>
    <x:col min="3" max="3" width="48" hidden="0" customWidth="1"/>
    <x:col min="4" max="4" width="20" hidden="0" customWidth="1"/>
    <x:col min="5" max="5" width="18" hidden="0" customWidth="1"/>
    <x:col min="6" max="6" width="14" hidden="0" customWidth="1"/>
    <x:col min="7" max="7" width="18" hidden="0" customWidth="1"/>
    <x:col min="8" max="8" width="30" hidden="0" customWidth="1"/>
    <x:col min="9" max="9" width="65" hidden="0" customWidth="1"/>
    <x:col min="10" max="10" width="60" hidden="0" customWidth="1"/>
    <x:col min="11" max="11" width="90" hidden="0" customWidth="1"/>
    <x:col min="12" max="12" width="65" hidden="0" customWidth="1"/>
    <x:col min="13" max="13" width="26" hidden="0" customWidth="1"/>
    <x:col min="14" max="14" width="12" hidden="0" customWidth="1"/>
    <x:col min="15" max="15" width="12" hidden="0" customWidth="1"/>
    <x:col min="16" max="16" width="18" hidden="0" customWidth="1"/>
    <x:col min="17" max="17" width="18" hidden="0" customWidth="1"/>
    <x:col min="18" max="18" width="16" hidden="0" customWidth="1"/>
  </x:cols>
  <x:sheetData>
    <x:row r="1" ht="48" customHeight="1">
      <x:c r="A1" s="23" t="str">
        <x:v>Ticker</x:v>
      </x:c>
      <x:c r="B1" s="24" t="str">
        <x:v>Metric</x:v>
      </x:c>
      <x:c r="C1" s="24" t="str">
        <x:v>Reported input</x:v>
      </x:c>
      <x:c r="D1" s="24" t="str">
        <x:v>USD millions (stored USD)</x:v>
      </x:c>
      <x:c r="E1" s="24" t="str">
        <x:v>Period end</x:v>
      </x:c>
      <x:c r="F1" s="24" t="str">
        <x:v>Form</x:v>
      </x:c>
      <x:c r="G1" s="24" t="str">
        <x:v>Filed</x:v>
      </x:c>
      <x:c r="H1" s="24" t="str">
        <x:v>Accession</x:v>
      </x:c>
      <x:c r="I1" s="24" t="str">
        <x:v>Tag</x:v>
      </x:c>
      <x:c r="J1" s="24" t="str">
        <x:v>Selection rule</x:v>
      </x:c>
      <x:c r="K1" s="24" t="str">
        <x:v>Source document</x:v>
      </x:c>
      <x:c r="L1" s="24" t="str">
        <x:v>Notes</x:v>
      </x:c>
      <x:c r="M1" s="24" t="str">
        <x:v>Context ID</x:v>
      </x:c>
      <x:c r="N1" s="24" t="str">
        <x:v>Scale</x:v>
      </x:c>
      <x:c r="O1" s="24" t="str">
        <x:v>Decimals</x:v>
      </x:c>
      <x:c r="P1" s="24" t="str">
        <x:v>Period start</x:v>
      </x:c>
      <x:c r="Q1" s="24" t="str">
        <x:v>TTM role</x:v>
      </x:c>
      <x:c r="R1" s="25" t="str">
        <x:v>Coefficient</x:v>
      </x:c>
    </x:row>
    <x:row r="2" ht="48" customHeight="1">
      <x:c r="A2" s="8" t="str">
        <x:v>LLY</x:v>
      </x:c>
      <x:c r="B2" s="9" t="str">
        <x:v>Cash and cash equivalents</x:v>
      </x:c>
      <x:c r="C2" s="9" t="str">
        <x:v>Cash and cash equivalents</x:v>
      </x:c>
      <x:c r="D2" s="36" t="n">
        <x:v>8950000000</x:v>
      </x:c>
      <x:c r="E2" s="9" t="str">
        <x:v>2026-06-30</x:v>
      </x:c>
      <x:c r="F2" s="9" t="str">
        <x:v>10-Q</x:v>
      </x:c>
      <x:c r="G2" s="9" t="str">
        <x:v>2026-08-05</x:v>
      </x:c>
      <x:c r="H2" s="9" t="str">
        <x:v>0000059478-26-000081</x:v>
      </x:c>
      <x:c r="I2" s="9" t="str">
        <x:v>us-gaap:CashAndCashEquivalentsAtCarryingValue</x:v>
      </x:c>
      <x:c r="J2" s="9" t="str">
        <x:v>USD instant at the balance-sheet date, from the latest original 10-K or 10-Q itself</x:v>
      </x:c>
      <x:c r="K2" s="9" t="str">
        <x:v>https://www.sec.gov/Archives/edgar/data/59478/000005947826000081/lly-20260630.htm</x:v>
      </x:c>
      <x:c r="L2" s="9"/>
      <x:c r="M2" s="9"/>
      <x:c r="N2" s="9"/>
      <x:c r="O2" s="9"/>
      <x:c r="P2" s="9"/>
      <x:c r="Q2" s="9"/>
      <x:c r="R2" s="10"/>
    </x:row>
    <x:row r="3" ht="48" customHeight="1">
      <x:c r="A3" s="8" t="str">
        <x:v>LLY</x:v>
      </x:c>
      <x:c r="B3" s="9" t="str">
        <x:v>Baseline gross debt</x:v>
      </x:c>
      <x:c r="C3" s="9" t="str">
        <x:v>Short-term borrowings and current maturities of long-term debt</x:v>
      </x:c>
      <x:c r="D3" s="36" t="n">
        <x:v>7050000000</x:v>
      </x:c>
      <x:c r="E3" s="9" t="str">
        <x:v>2026-06-30</x:v>
      </x:c>
      <x:c r="F3" s="9" t="str">
        <x:v>10-Q</x:v>
      </x:c>
      <x:c r="G3" s="9" t="str">
        <x:v>2026-08-05</x:v>
      </x:c>
      <x:c r="H3" s="9" t="str">
        <x:v>0000059478-26-000081</x:v>
      </x:c>
      <x:c r="I3" s="9" t="str">
        <x:v>us-gaap:DebtCurrent</x:v>
      </x:c>
      <x:c r="J3" s="9" t="str">
        <x:v>USD instant at the balance-sheet date, from the latest original 10-K or 10-Q itself</x:v>
      </x:c>
      <x:c r="K3" s="9" t="str">
        <x:v>https://www.sec.gov/Archives/edgar/data/59478/000005947826000081/lly-20260630.htm</x:v>
      </x:c>
      <x:c r="L3" s="9"/>
      <x:c r="M3" s="9"/>
      <x:c r="N3" s="9"/>
      <x:c r="O3" s="9"/>
      <x:c r="P3" s="9"/>
      <x:c r="Q3" s="9"/>
      <x:c r="R3" s="10"/>
    </x:row>
    <x:row r="4" ht="48" customHeight="1">
      <x:c r="A4" s="8" t="str">
        <x:v>LLY</x:v>
      </x:c>
      <x:c r="B4" s="9" t="str">
        <x:v>Baseline gross debt</x:v>
      </x:c>
      <x:c r="C4" s="9" t="str">
        <x:v>Long-term debt</x:v>
      </x:c>
      <x:c r="D4" s="36" t="n">
        <x:v>47858000000</x:v>
      </x:c>
      <x:c r="E4" s="9" t="str">
        <x:v>2026-06-30</x:v>
      </x:c>
      <x:c r="F4" s="9" t="str">
        <x:v>10-Q</x:v>
      </x:c>
      <x:c r="G4" s="9" t="str">
        <x:v>2026-08-05</x:v>
      </x:c>
      <x:c r="H4" s="9" t="str">
        <x:v>0000059478-26-000081</x:v>
      </x:c>
      <x:c r="I4" s="9" t="str">
        <x:v>us-gaap:LongTermDebtNoncurrent</x:v>
      </x:c>
      <x:c r="J4" s="9" t="str">
        <x:v>USD instant at the balance-sheet date, from the latest original 10-K or 10-Q itself</x:v>
      </x:c>
      <x:c r="K4" s="9" t="str">
        <x:v>https://www.sec.gov/Archives/edgar/data/59478/000005947826000081/lly-20260630.htm</x:v>
      </x:c>
      <x:c r="L4" s="9"/>
      <x:c r="M4" s="9"/>
      <x:c r="N4" s="9"/>
      <x:c r="O4" s="9"/>
      <x:c r="P4" s="9"/>
      <x:c r="Q4" s="9"/>
      <x:c r="R4" s="10"/>
    </x:row>
    <x:row r="5" ht="48" customHeight="1">
      <x:c r="A5" s="8" t="str">
        <x:v>LLY</x:v>
      </x:c>
      <x:c r="B5" s="9" t="str">
        <x:v>Current ratio</x:v>
      </x:c>
      <x:c r="C5" s="9" t="str">
        <x:v>Current assets</x:v>
      </x:c>
      <x:c r="D5" s="36" t="n">
        <x:v>64672000000</x:v>
      </x:c>
      <x:c r="E5" s="9" t="str">
        <x:v>2026-06-30</x:v>
      </x:c>
      <x:c r="F5" s="9" t="str">
        <x:v>10-Q</x:v>
      </x:c>
      <x:c r="G5" s="9" t="str">
        <x:v>2026-08-05</x:v>
      </x:c>
      <x:c r="H5" s="9" t="str">
        <x:v>0000059478-26-000081</x:v>
      </x:c>
      <x:c r="I5" s="9" t="str">
        <x:v>us-gaap:AssetsCurrent</x:v>
      </x:c>
      <x:c r="J5" s="9" t="str">
        <x:v>USD instant at the balance-sheet date, from the latest original 10-K or 10-Q itself</x:v>
      </x:c>
      <x:c r="K5" s="9" t="str">
        <x:v>https://www.sec.gov/Archives/edgar/data/59478/000005947826000081/lly-20260630.htm</x:v>
      </x:c>
      <x:c r="L5" s="9"/>
      <x:c r="M5" s="9"/>
      <x:c r="N5" s="9"/>
      <x:c r="O5" s="9"/>
      <x:c r="P5" s="9"/>
      <x:c r="Q5" s="9"/>
      <x:c r="R5" s="10"/>
    </x:row>
    <x:row r="6" ht="48" customHeight="1">
      <x:c r="A6" s="8" t="str">
        <x:v>LLY</x:v>
      </x:c>
      <x:c r="B6" s="9" t="str">
        <x:v>Current ratio</x:v>
      </x:c>
      <x:c r="C6" s="9" t="str">
        <x:v>Current liabilities</x:v>
      </x:c>
      <x:c r="D6" s="36" t="n">
        <x:v>47741000000</x:v>
      </x:c>
      <x:c r="E6" s="9" t="str">
        <x:v>2026-06-30</x:v>
      </x:c>
      <x:c r="F6" s="9" t="str">
        <x:v>10-Q</x:v>
      </x:c>
      <x:c r="G6" s="9" t="str">
        <x:v>2026-08-05</x:v>
      </x:c>
      <x:c r="H6" s="9" t="str">
        <x:v>0000059478-26-000081</x:v>
      </x:c>
      <x:c r="I6" s="9" t="str">
        <x:v>us-gaap:LiabilitiesCurrent</x:v>
      </x:c>
      <x:c r="J6" s="9" t="str">
        <x:v>USD instant at the balance-sheet date, from the latest original 10-K or 10-Q itself</x:v>
      </x:c>
      <x:c r="K6" s="9" t="str">
        <x:v>https://www.sec.gov/Archives/edgar/data/59478/000005947826000081/lly-20260630.htm</x:v>
      </x:c>
      <x:c r="L6" s="9"/>
      <x:c r="M6" s="9"/>
      <x:c r="N6" s="9"/>
      <x:c r="O6" s="9"/>
      <x:c r="P6" s="9"/>
      <x:c r="Q6" s="9"/>
      <x:c r="R6" s="10"/>
    </x:row>
    <x:row r="7" ht="48" customHeight="1">
      <x:c r="A7" s="8" t="str">
        <x:v>LLY</x:v>
      </x:c>
      <x:c r="B7" s="9" t="str">
        <x:v>Operating cash flow</x:v>
      </x:c>
      <x:c r="C7" s="9" t="str">
        <x:v>Operating cash flow · fiscal year</x:v>
      </x:c>
      <x:c r="D7" s="36" t="n">
        <x:v>16813000000</x:v>
      </x:c>
      <x:c r="E7" s="9" t="str">
        <x:v>2025-12-31</x:v>
      </x:c>
      <x:c r="F7" s="9" t="str">
        <x:v>10-K</x:v>
      </x:c>
      <x:c r="G7" s="9" t="str">
        <x:v>2026-02-12</x:v>
      </x:c>
      <x:c r="H7" s="9" t="str">
        <x:v>0000059478-26-000013</x:v>
      </x:c>
      <x:c r="I7" s="9" t="str">
        <x:v>us-gaap:NetCashProvidedByUsedInOperatingActivities</x:v>
      </x:c>
      <x:c r="J7" s="9" t="str">
        <x:v>Exact tag, USD duration, exact start and end dates, no dimensions</x:v>
      </x:c>
      <x:c r="K7" s="9" t="str">
        <x:v>https://www.sec.gov/Archives/edgar/data/59478/000005947826000013/lly-20251231.htm</x:v>
      </x:c>
      <x:c r="L7" s="9"/>
      <x:c r="M7" s="9" t="str">
        <x:v>c-1</x:v>
      </x:c>
      <x:c r="N7" s="9" t="n">
        <x:v>6</x:v>
      </x:c>
      <x:c r="O7" s="9" t="str">
        <x:v>-6</x:v>
      </x:c>
      <x:c r="P7" s="9" t="str">
        <x:v>2025-01-01</x:v>
      </x:c>
      <x:c r="Q7" s="9" t="str">
        <x:v>Fiscal year</x:v>
      </x:c>
      <x:c r="R7" s="10" t="n">
        <x:v>1</x:v>
      </x:c>
    </x:row>
    <x:row r="8" ht="48" customHeight="1">
      <x:c r="A8" s="8" t="str">
        <x:v>LLY</x:v>
      </x:c>
      <x:c r="B8" s="9" t="str">
        <x:v>Operating cash flow</x:v>
      </x:c>
      <x:c r="C8" s="9" t="str">
        <x:v>Operating cash flow · current year to date</x:v>
      </x:c>
      <x:c r="D8" s="36" t="n">
        <x:v>16023000000</x:v>
      </x:c>
      <x:c r="E8" s="9" t="str">
        <x:v>2026-06-30</x:v>
      </x:c>
      <x:c r="F8" s="9" t="str">
        <x:v>10-Q</x:v>
      </x:c>
      <x:c r="G8" s="9" t="str">
        <x:v>2026-08-05</x:v>
      </x:c>
      <x:c r="H8" s="9" t="str">
        <x:v>0000059478-26-000081</x:v>
      </x:c>
      <x:c r="I8" s="9" t="str">
        <x:v>us-gaap:NetCashProvidedByUsedInOperatingActivities</x:v>
      </x:c>
      <x:c r="J8" s="9" t="str">
        <x:v>Exact tag, USD duration, exact start and end dates, no dimensions</x:v>
      </x:c>
      <x:c r="K8" s="9" t="str">
        <x:v>https://www.sec.gov/Archives/edgar/data/59478/000005947826000081/lly-20260630.htm</x:v>
      </x:c>
      <x:c r="L8" s="9"/>
      <x:c r="M8" s="9" t="str">
        <x:v>c-1</x:v>
      </x:c>
      <x:c r="N8" s="9" t="n">
        <x:v>6</x:v>
      </x:c>
      <x:c r="O8" s="9" t="str">
        <x:v>-6</x:v>
      </x:c>
      <x:c r="P8" s="9" t="str">
        <x:v>2026-01-01</x:v>
      </x:c>
      <x:c r="Q8" s="9" t="str">
        <x:v>Current year to date</x:v>
      </x:c>
      <x:c r="R8" s="10" t="n">
        <x:v>1</x:v>
      </x:c>
    </x:row>
    <x:row r="9" ht="48" customHeight="1">
      <x:c r="A9" s="8" t="str">
        <x:v>LLY</x:v>
      </x:c>
      <x:c r="B9" s="9" t="str">
        <x:v>Operating cash flow</x:v>
      </x:c>
      <x:c r="C9" s="9" t="str">
        <x:v>Operating cash flow · prior year to date</x:v>
      </x:c>
      <x:c r="D9" s="36" t="n">
        <x:v>4753000000</x:v>
      </x:c>
      <x:c r="E9" s="9" t="str">
        <x:v>2025-06-30</x:v>
      </x:c>
      <x:c r="F9" s="9" t="str">
        <x:v>10-Q</x:v>
      </x:c>
      <x:c r="G9" s="9" t="str">
        <x:v>2026-08-05</x:v>
      </x:c>
      <x:c r="H9" s="9" t="str">
        <x:v>0000059478-26-000081</x:v>
      </x:c>
      <x:c r="I9" s="9" t="str">
        <x:v>us-gaap:NetCashProvidedByUsedInOperatingActivities</x:v>
      </x:c>
      <x:c r="J9" s="9" t="str">
        <x:v>Exact tag, USD duration, exact start and end dates, no dimensions</x:v>
      </x:c>
      <x:c r="K9" s="9" t="str">
        <x:v>https://www.sec.gov/Archives/edgar/data/59478/000005947826000081/lly-20260630.htm</x:v>
      </x:c>
      <x:c r="L9" s="9"/>
      <x:c r="M9" s="9" t="str">
        <x:v>c-14</x:v>
      </x:c>
      <x:c r="N9" s="9" t="n">
        <x:v>6</x:v>
      </x:c>
      <x:c r="O9" s="9" t="str">
        <x:v>-6</x:v>
      </x:c>
      <x:c r="P9" s="9" t="str">
        <x:v>2025-01-01</x:v>
      </x:c>
      <x:c r="Q9" s="9" t="str">
        <x:v>Prior year to date</x:v>
      </x:c>
      <x:c r="R9" s="10" t="n">
        <x:v>-1</x:v>
      </x:c>
    </x:row>
    <x:row r="10" ht="48" customHeight="1">
      <x:c r="A10" s="8" t="str">
        <x:v>LLY</x:v>
      </x:c>
      <x:c r="B10" s="9" t="str">
        <x:v>Purchases of property and equipment</x:v>
      </x:c>
      <x:c r="C10" s="9" t="str">
        <x:v>Purchases of property and equipment · fiscal year</x:v>
      </x:c>
      <x:c r="D10" s="36" t="n">
        <x:v>7841000000</x:v>
      </x:c>
      <x:c r="E10" s="9" t="str">
        <x:v>2025-12-31</x:v>
      </x:c>
      <x:c r="F10" s="9" t="str">
        <x:v>10-K</x:v>
      </x:c>
      <x:c r="G10" s="9" t="str">
        <x:v>2026-02-12</x:v>
      </x:c>
      <x:c r="H10" s="9" t="str">
        <x:v>0000059478-26-000013</x:v>
      </x:c>
      <x:c r="I10" s="9" t="str">
        <x:v>us-gaap:PaymentsToAcquireOtherPropertyPlantAndEquipment</x:v>
      </x:c>
      <x:c r="J10" s="9" t="str">
        <x:v>Exact tag, USD duration, exact start and end dates, no dimensions</x:v>
      </x:c>
      <x:c r="K10" s="9" t="str">
        <x:v>https://www.sec.gov/Archives/edgar/data/59478/000005947826000013/lly-20251231.htm</x:v>
      </x:c>
      <x:c r="L10" s="9"/>
      <x:c r="M10" s="9" t="str">
        <x:v>c-1</x:v>
      </x:c>
      <x:c r="N10" s="9" t="n">
        <x:v>6</x:v>
      </x:c>
      <x:c r="O10" s="9" t="str">
        <x:v>-6</x:v>
      </x:c>
      <x:c r="P10" s="9" t="str">
        <x:v>2025-01-01</x:v>
      </x:c>
      <x:c r="Q10" s="9" t="str">
        <x:v>Fiscal year</x:v>
      </x:c>
      <x:c r="R10" s="10" t="n">
        <x:v>1</x:v>
      </x:c>
    </x:row>
    <x:row r="11" ht="48" customHeight="1">
      <x:c r="A11" s="8" t="str">
        <x:v>LLY</x:v>
      </x:c>
      <x:c r="B11" s="9" t="str">
        <x:v>Purchases of property and equipment</x:v>
      </x:c>
      <x:c r="C11" s="9" t="str">
        <x:v>Purchases of property and equipment · current year to date</x:v>
      </x:c>
      <x:c r="D11" s="36" t="n">
        <x:v>5259000000</x:v>
      </x:c>
      <x:c r="E11" s="9" t="str">
        <x:v>2026-06-30</x:v>
      </x:c>
      <x:c r="F11" s="9" t="str">
        <x:v>10-Q</x:v>
      </x:c>
      <x:c r="G11" s="9" t="str">
        <x:v>2026-08-05</x:v>
      </x:c>
      <x:c r="H11" s="9" t="str">
        <x:v>0000059478-26-000081</x:v>
      </x:c>
      <x:c r="I11" s="9" t="str">
        <x:v>us-gaap:PaymentsToAcquireOtherPropertyPlantAndEquipment</x:v>
      </x:c>
      <x:c r="J11" s="9" t="str">
        <x:v>Exact tag, USD duration, exact start and end dates, no dimensions</x:v>
      </x:c>
      <x:c r="K11" s="9" t="str">
        <x:v>https://www.sec.gov/Archives/edgar/data/59478/000005947826000081/lly-20260630.htm</x:v>
      </x:c>
      <x:c r="L11" s="9"/>
      <x:c r="M11" s="9" t="str">
        <x:v>c-1</x:v>
      </x:c>
      <x:c r="N11" s="9" t="n">
        <x:v>6</x:v>
      </x:c>
      <x:c r="O11" s="9" t="str">
        <x:v>-6</x:v>
      </x:c>
      <x:c r="P11" s="9" t="str">
        <x:v>2026-01-01</x:v>
      </x:c>
      <x:c r="Q11" s="9" t="str">
        <x:v>Current year to date</x:v>
      </x:c>
      <x:c r="R11" s="10" t="n">
        <x:v>1</x:v>
      </x:c>
    </x:row>
    <x:row r="12" ht="48" customHeight="1">
      <x:c r="A12" s="8" t="str">
        <x:v>LLY</x:v>
      </x:c>
      <x:c r="B12" s="9" t="str">
        <x:v>Purchases of property and equipment</x:v>
      </x:c>
      <x:c r="C12" s="9" t="str">
        <x:v>Purchases of property and equipment · prior year to date</x:v>
      </x:c>
      <x:c r="D12" s="36" t="n">
        <x:v>3207000000</x:v>
      </x:c>
      <x:c r="E12" s="9" t="str">
        <x:v>2025-06-30</x:v>
      </x:c>
      <x:c r="F12" s="9" t="str">
        <x:v>10-Q</x:v>
      </x:c>
      <x:c r="G12" s="9" t="str">
        <x:v>2026-08-05</x:v>
      </x:c>
      <x:c r="H12" s="9" t="str">
        <x:v>0000059478-26-000081</x:v>
      </x:c>
      <x:c r="I12" s="9" t="str">
        <x:v>us-gaap:PaymentsToAcquireOtherPropertyPlantAndEquipment</x:v>
      </x:c>
      <x:c r="J12" s="9" t="str">
        <x:v>Exact tag, USD duration, exact start and end dates, no dimensions</x:v>
      </x:c>
      <x:c r="K12" s="9" t="str">
        <x:v>https://www.sec.gov/Archives/edgar/data/59478/000005947826000081/lly-20260630.htm</x:v>
      </x:c>
      <x:c r="L12" s="9"/>
      <x:c r="M12" s="9" t="str">
        <x:v>c-14</x:v>
      </x:c>
      <x:c r="N12" s="9" t="n">
        <x:v>6</x:v>
      </x:c>
      <x:c r="O12" s="9" t="str">
        <x:v>-6</x:v>
      </x:c>
      <x:c r="P12" s="9" t="str">
        <x:v>2025-01-01</x:v>
      </x:c>
      <x:c r="Q12" s="9" t="str">
        <x:v>Prior year to date</x:v>
      </x:c>
      <x:c r="R12" s="10" t="n">
        <x:v>-1</x:v>
      </x:c>
    </x:row>
    <x:row r="13" ht="48" customHeight="1">
      <x:c r="A13" s="8" t="str">
        <x:v>ORCL</x:v>
      </x:c>
      <x:c r="B13" s="9" t="str">
        <x:v>Cash and cash equivalents</x:v>
      </x:c>
      <x:c r="C13" s="9" t="str">
        <x:v>Cash and cash equivalents</x:v>
      </x:c>
      <x:c r="D13" s="36" t="n">
        <x:v>36369000000</x:v>
      </x:c>
      <x:c r="E13" s="9" t="str">
        <x:v>2026-08-31</x:v>
      </x:c>
      <x:c r="F13" s="9" t="str">
        <x:v>10-Q</x:v>
      </x:c>
      <x:c r="G13" s="9" t="str">
        <x:v>2026-09-11</x:v>
      </x:c>
      <x:c r="H13" s="9" t="str">
        <x:v>0001193125-26-389274</x:v>
      </x:c>
      <x:c r="I13" s="9" t="str">
        <x:v>us-gaap:CashAndCashEquivalentsAtCarryingValue</x:v>
      </x:c>
      <x:c r="J13" s="9" t="str">
        <x:v>USD instant at the balance-sheet date, from the latest original 10-K or 10-Q itself</x:v>
      </x:c>
      <x:c r="K13" s="9" t="str">
        <x:v>https://www.sec.gov/Archives/edgar/data/1341439/000119312526389274/orcl-20260831.htm</x:v>
      </x:c>
      <x:c r="L13" s="9"/>
      <x:c r="M13" s="9"/>
      <x:c r="N13" s="9"/>
      <x:c r="O13" s="9"/>
      <x:c r="P13" s="9"/>
      <x:c r="Q13" s="9"/>
      <x:c r="R13" s="10"/>
    </x:row>
    <x:row r="14" ht="48" customHeight="1">
      <x:c r="A14" s="8" t="str">
        <x:v>ORCL</x:v>
      </x:c>
      <x:c r="B14" s="9" t="str">
        <x:v>Baseline gross debt</x:v>
      </x:c>
      <x:c r="C14" s="9" t="str">
        <x:v>Notes payable and other borrowings, current</x:v>
      </x:c>
      <x:c r="D14" s="36" t="n">
        <x:v>7625000000</x:v>
      </x:c>
      <x:c r="E14" s="9" t="str">
        <x:v>2026-08-31</x:v>
      </x:c>
      <x:c r="F14" s="9" t="str">
        <x:v>10-Q</x:v>
      </x:c>
      <x:c r="G14" s="9" t="str">
        <x:v>2026-09-11</x:v>
      </x:c>
      <x:c r="H14" s="9" t="str">
        <x:v>0001193125-26-389274</x:v>
      </x:c>
      <x:c r="I14" s="9" t="str">
        <x:v>us-gaap:NotesPayableCurrent</x:v>
      </x:c>
      <x:c r="J14" s="9" t="str">
        <x:v>USD instant at the balance-sheet date, from the latest original 10-K or 10-Q itself</x:v>
      </x:c>
      <x:c r="K14" s="9" t="str">
        <x:v>https://www.sec.gov/Archives/edgar/data/1341439/000119312526389274/orcl-20260831.htm</x:v>
      </x:c>
      <x:c r="L14" s="9"/>
      <x:c r="M14" s="9"/>
      <x:c r="N14" s="9"/>
      <x:c r="O14" s="9"/>
      <x:c r="P14" s="9"/>
      <x:c r="Q14" s="9"/>
      <x:c r="R14" s="10"/>
    </x:row>
    <x:row r="15" ht="48" customHeight="1">
      <x:c r="A15" s="8" t="str">
        <x:v>ORCL</x:v>
      </x:c>
      <x:c r="B15" s="9" t="str">
        <x:v>Baseline gross debt</x:v>
      </x:c>
      <x:c r="C15" s="9" t="str">
        <x:v>Notes payable and other borrowings, non-current</x:v>
      </x:c>
      <x:c r="D15" s="36" t="n">
        <x:v>117712000000</x:v>
      </x:c>
      <x:c r="E15" s="9" t="str">
        <x:v>2026-08-31</x:v>
      </x:c>
      <x:c r="F15" s="9" t="str">
        <x:v>10-Q</x:v>
      </x:c>
      <x:c r="G15" s="9" t="str">
        <x:v>2026-09-11</x:v>
      </x:c>
      <x:c r="H15" s="9" t="str">
        <x:v>0001193125-26-389274</x:v>
      </x:c>
      <x:c r="I15" s="9" t="str">
        <x:v>us-gaap:LongTermNotesAndLoans</x:v>
      </x:c>
      <x:c r="J15" s="9" t="str">
        <x:v>USD instant at the balance-sheet date, from the latest original 10-K or 10-Q itself</x:v>
      </x:c>
      <x:c r="K15" s="9" t="str">
        <x:v>https://www.sec.gov/Archives/edgar/data/1341439/000119312526389274/orcl-20260831.htm</x:v>
      </x:c>
      <x:c r="L15" s="9"/>
      <x:c r="M15" s="9"/>
      <x:c r="N15" s="9"/>
      <x:c r="O15" s="9"/>
      <x:c r="P15" s="9"/>
      <x:c r="Q15" s="9"/>
      <x:c r="R15" s="10"/>
    </x:row>
    <x:row r="16" ht="48" customHeight="1">
      <x:c r="A16" s="8" t="str">
        <x:v>ORCL</x:v>
      </x:c>
      <x:c r="B16" s="9" t="str">
        <x:v>Current ratio</x:v>
      </x:c>
      <x:c r="C16" s="9" t="str">
        <x:v>Current assets</x:v>
      </x:c>
      <x:c r="D16" s="36" t="n">
        <x:v>55630000000</x:v>
      </x:c>
      <x:c r="E16" s="9" t="str">
        <x:v>2026-08-31</x:v>
      </x:c>
      <x:c r="F16" s="9" t="str">
        <x:v>10-Q</x:v>
      </x:c>
      <x:c r="G16" s="9" t="str">
        <x:v>2026-09-11</x:v>
      </x:c>
      <x:c r="H16" s="9" t="str">
        <x:v>0001193125-26-389274</x:v>
      </x:c>
      <x:c r="I16" s="9" t="str">
        <x:v>us-gaap:AssetsCurrent</x:v>
      </x:c>
      <x:c r="J16" s="9" t="str">
        <x:v>USD instant at the balance-sheet date, from the latest original 10-K or 10-Q itself</x:v>
      </x:c>
      <x:c r="K16" s="9" t="str">
        <x:v>https://www.sec.gov/Archives/edgar/data/1341439/000119312526389274/orcl-20260831.htm</x:v>
      </x:c>
      <x:c r="L16" s="9"/>
      <x:c r="M16" s="9"/>
      <x:c r="N16" s="9"/>
      <x:c r="O16" s="9"/>
      <x:c r="P16" s="9"/>
      <x:c r="Q16" s="9"/>
      <x:c r="R16" s="10"/>
    </x:row>
    <x:row r="17" ht="48" customHeight="1">
      <x:c r="A17" s="8" t="str">
        <x:v>ORCL</x:v>
      </x:c>
      <x:c r="B17" s="9" t="str">
        <x:v>Current ratio</x:v>
      </x:c>
      <x:c r="C17" s="9" t="str">
        <x:v>Current liabilities</x:v>
      </x:c>
      <x:c r="D17" s="36" t="n">
        <x:v>47514000000</x:v>
      </x:c>
      <x:c r="E17" s="9" t="str">
        <x:v>2026-08-31</x:v>
      </x:c>
      <x:c r="F17" s="9" t="str">
        <x:v>10-Q</x:v>
      </x:c>
      <x:c r="G17" s="9" t="str">
        <x:v>2026-09-11</x:v>
      </x:c>
      <x:c r="H17" s="9" t="str">
        <x:v>0001193125-26-389274</x:v>
      </x:c>
      <x:c r="I17" s="9" t="str">
        <x:v>us-gaap:LiabilitiesCurrent</x:v>
      </x:c>
      <x:c r="J17" s="9" t="str">
        <x:v>USD instant at the balance-sheet date, from the latest original 10-K or 10-Q itself</x:v>
      </x:c>
      <x:c r="K17" s="9" t="str">
        <x:v>https://www.sec.gov/Archives/edgar/data/1341439/000119312526389274/orcl-20260831.htm</x:v>
      </x:c>
      <x:c r="L17" s="9"/>
      <x:c r="M17" s="9"/>
      <x:c r="N17" s="9"/>
      <x:c r="O17" s="9"/>
      <x:c r="P17" s="9"/>
      <x:c r="Q17" s="9"/>
      <x:c r="R17" s="10"/>
    </x:row>
    <x:row r="18" ht="48" customHeight="1">
      <x:c r="A18" s="8" t="str">
        <x:v>ORCL</x:v>
      </x:c>
      <x:c r="B18" s="9" t="str">
        <x:v>Operating cash flow</x:v>
      </x:c>
      <x:c r="C18" s="9" t="str">
        <x:v>Operating cash flow · fiscal year</x:v>
      </x:c>
      <x:c r="D18" s="36" t="n">
        <x:v>31977000000</x:v>
      </x:c>
      <x:c r="E18" s="9" t="str">
        <x:v>2026-05-31</x:v>
      </x:c>
      <x:c r="F18" s="9" t="str">
        <x:v>10-K</x:v>
      </x:c>
      <x:c r="G18" s="9" t="str">
        <x:v>2026-06-22</x:v>
      </x:c>
      <x:c r="H18" s="9" t="str">
        <x:v>0001193125-26-277521</x:v>
      </x:c>
      <x:c r="I18" s="9" t="str">
        <x:v>us-gaap:NetCashProvidedByUsedInOperatingActivities</x:v>
      </x:c>
      <x:c r="J18" s="9" t="str">
        <x:v>Exact tag, USD duration, exact start and end dates, no dimensions</x:v>
      </x:c>
      <x:c r="K18" s="9" t="str">
        <x:v>https://www.sec.gov/Archives/edgar/data/1341439/000119312526277521/orcl-20260531.htm</x:v>
      </x:c>
      <x:c r="L18" s="9"/>
      <x:c r="M18" s="9" t="str">
        <x:v>C_24317829-d237-4c29-bae3-2e46dd1ae625</x:v>
      </x:c>
      <x:c r="N18" s="9" t="n">
        <x:v>6</x:v>
      </x:c>
      <x:c r="O18" s="9" t="str">
        <x:v>-6</x:v>
      </x:c>
      <x:c r="P18" s="9" t="str">
        <x:v>2025-06-01</x:v>
      </x:c>
      <x:c r="Q18" s="9" t="str">
        <x:v>Fiscal year</x:v>
      </x:c>
      <x:c r="R18" s="10" t="n">
        <x:v>1</x:v>
      </x:c>
    </x:row>
    <x:row r="19" ht="48" customHeight="1">
      <x:c r="A19" s="8" t="str">
        <x:v>ORCL</x:v>
      </x:c>
      <x:c r="B19" s="9" t="str">
        <x:v>Operating cash flow</x:v>
      </x:c>
      <x:c r="C19" s="9" t="str">
        <x:v>Operating cash flow · current year to date</x:v>
      </x:c>
      <x:c r="D19" s="36" t="n">
        <x:v>23103000000</x:v>
      </x:c>
      <x:c r="E19" s="9" t="str">
        <x:v>2026-08-31</x:v>
      </x:c>
      <x:c r="F19" s="9" t="str">
        <x:v>10-Q</x:v>
      </x:c>
      <x:c r="G19" s="9" t="str">
        <x:v>2026-09-11</x:v>
      </x:c>
      <x:c r="H19" s="9" t="str">
        <x:v>0001193125-26-389274</x:v>
      </x:c>
      <x:c r="I19" s="9" t="str">
        <x:v>us-gaap:NetCashProvidedByUsedInOperatingActivities</x:v>
      </x:c>
      <x:c r="J19" s="9" t="str">
        <x:v>Exact tag, USD duration, exact start and end dates, no dimensions</x:v>
      </x:c>
      <x:c r="K19" s="9" t="str">
        <x:v>https://www.sec.gov/Archives/edgar/data/1341439/000119312526389274/orcl-20260831.htm</x:v>
      </x:c>
      <x:c r="L19" s="9"/>
      <x:c r="M19" s="9" t="str">
        <x:v>C_f2f9ad85-08df-4e59-8948-bfd9405570de</x:v>
      </x:c>
      <x:c r="N19" s="9" t="n">
        <x:v>6</x:v>
      </x:c>
      <x:c r="O19" s="9" t="str">
        <x:v>-6</x:v>
      </x:c>
      <x:c r="P19" s="9" t="str">
        <x:v>2026-06-01</x:v>
      </x:c>
      <x:c r="Q19" s="9" t="str">
        <x:v>Current year to date</x:v>
      </x:c>
      <x:c r="R19" s="10" t="n">
        <x:v>1</x:v>
      </x:c>
    </x:row>
    <x:row r="20" ht="48" customHeight="1">
      <x:c r="A20" s="8" t="str">
        <x:v>ORCL</x:v>
      </x:c>
      <x:c r="B20" s="9" t="str">
        <x:v>Operating cash flow</x:v>
      </x:c>
      <x:c r="C20" s="9" t="str">
        <x:v>Operating cash flow · prior year to date</x:v>
      </x:c>
      <x:c r="D20" s="36" t="n">
        <x:v>8140000000</x:v>
      </x:c>
      <x:c r="E20" s="9" t="str">
        <x:v>2025-08-31</x:v>
      </x:c>
      <x:c r="F20" s="9" t="str">
        <x:v>10-Q</x:v>
      </x:c>
      <x:c r="G20" s="9" t="str">
        <x:v>2026-09-11</x:v>
      </x:c>
      <x:c r="H20" s="9" t="str">
        <x:v>0001193125-26-389274</x:v>
      </x:c>
      <x:c r="I20" s="9" t="str">
        <x:v>us-gaap:NetCashProvidedByUsedInOperatingActivities</x:v>
      </x:c>
      <x:c r="J20" s="9" t="str">
        <x:v>Exact tag, USD duration, exact start and end dates, no dimensions</x:v>
      </x:c>
      <x:c r="K20" s="9" t="str">
        <x:v>https://www.sec.gov/Archives/edgar/data/1341439/000119312526389274/orcl-20260831.htm</x:v>
      </x:c>
      <x:c r="L20" s="9"/>
      <x:c r="M20" s="9" t="str">
        <x:v>C_a0bdcecc-b2bf-40f4-8106-f50197737571</x:v>
      </x:c>
      <x:c r="N20" s="9" t="n">
        <x:v>6</x:v>
      </x:c>
      <x:c r="O20" s="9" t="str">
        <x:v>-6</x:v>
      </x:c>
      <x:c r="P20" s="9" t="str">
        <x:v>2025-06-01</x:v>
      </x:c>
      <x:c r="Q20" s="9" t="str">
        <x:v>Prior year to date</x:v>
      </x:c>
      <x:c r="R20" s="10" t="n">
        <x:v>-1</x:v>
      </x:c>
    </x:row>
    <x:row r="21" ht="48" customHeight="1">
      <x:c r="A21" s="8" t="str">
        <x:v>ORCL</x:v>
      </x:c>
      <x:c r="B21" s="9" t="str">
        <x:v>Capital expenditures</x:v>
      </x:c>
      <x:c r="C21" s="9" t="str">
        <x:v>Capital expenditures · fiscal year</x:v>
      </x:c>
      <x:c r="D21" s="36" t="n">
        <x:v>55663000000</x:v>
      </x:c>
      <x:c r="E21" s="9" t="str">
        <x:v>2026-05-31</x:v>
      </x:c>
      <x:c r="F21" s="9" t="str">
        <x:v>10-K</x:v>
      </x:c>
      <x:c r="G21" s="9" t="str">
        <x:v>2026-06-22</x:v>
      </x:c>
      <x:c r="H21" s="9" t="str">
        <x:v>0001193125-26-277521</x:v>
      </x:c>
      <x:c r="I21" s="9" t="str">
        <x:v>us-gaap:PaymentsToAcquirePropertyPlantAndEquipment</x:v>
      </x:c>
      <x:c r="J21" s="9" t="str">
        <x:v>Exact tag, USD duration, exact start and end dates, no dimensions</x:v>
      </x:c>
      <x:c r="K21" s="9" t="str">
        <x:v>https://www.sec.gov/Archives/edgar/data/1341439/000119312526277521/orcl-20260531.htm</x:v>
      </x:c>
      <x:c r="L21" s="9"/>
      <x:c r="M21" s="9" t="str">
        <x:v>C_24317829-d237-4c29-bae3-2e46dd1ae625</x:v>
      </x:c>
      <x:c r="N21" s="9" t="n">
        <x:v>6</x:v>
      </x:c>
      <x:c r="O21" s="9" t="str">
        <x:v>-6</x:v>
      </x:c>
      <x:c r="P21" s="9" t="str">
        <x:v>2025-06-01</x:v>
      </x:c>
      <x:c r="Q21" s="9" t="str">
        <x:v>Fiscal year</x:v>
      </x:c>
      <x:c r="R21" s="10" t="n">
        <x:v>1</x:v>
      </x:c>
    </x:row>
    <x:row r="22" ht="48" customHeight="1">
      <x:c r="A22" s="8" t="str">
        <x:v>ORCL</x:v>
      </x:c>
      <x:c r="B22" s="9" t="str">
        <x:v>Capital expenditures</x:v>
      </x:c>
      <x:c r="C22" s="9" t="str">
        <x:v>Capital expenditures · current year to date</x:v>
      </x:c>
      <x:c r="D22" s="36" t="n">
        <x:v>28499000000</x:v>
      </x:c>
      <x:c r="E22" s="9" t="str">
        <x:v>2026-08-31</x:v>
      </x:c>
      <x:c r="F22" s="9" t="str">
        <x:v>10-Q</x:v>
      </x:c>
      <x:c r="G22" s="9" t="str">
        <x:v>2026-09-11</x:v>
      </x:c>
      <x:c r="H22" s="9" t="str">
        <x:v>0001193125-26-389274</x:v>
      </x:c>
      <x:c r="I22" s="9" t="str">
        <x:v>us-gaap:PaymentsToAcquirePropertyPlantAndEquipment</x:v>
      </x:c>
      <x:c r="J22" s="9" t="str">
        <x:v>Exact tag, USD duration, exact start and end dates, no dimensions</x:v>
      </x:c>
      <x:c r="K22" s="9" t="str">
        <x:v>https://www.sec.gov/Archives/edgar/data/1341439/000119312526389274/orcl-20260831.htm</x:v>
      </x:c>
      <x:c r="L22" s="9"/>
      <x:c r="M22" s="9" t="str">
        <x:v>C_f2f9ad85-08df-4e59-8948-bfd9405570de</x:v>
      </x:c>
      <x:c r="N22" s="9" t="n">
        <x:v>6</x:v>
      </x:c>
      <x:c r="O22" s="9" t="str">
        <x:v>-6</x:v>
      </x:c>
      <x:c r="P22" s="9" t="str">
        <x:v>2026-06-01</x:v>
      </x:c>
      <x:c r="Q22" s="9" t="str">
        <x:v>Current year to date</x:v>
      </x:c>
      <x:c r="R22" s="10" t="n">
        <x:v>1</x:v>
      </x:c>
    </x:row>
    <x:row r="23" ht="48" customHeight="1">
      <x:c r="A23" s="8" t="str">
        <x:v>ORCL</x:v>
      </x:c>
      <x:c r="B23" s="9" t="str">
        <x:v>Capital expenditures</x:v>
      </x:c>
      <x:c r="C23" s="9" t="str">
        <x:v>Capital expenditures · prior year to date</x:v>
      </x:c>
      <x:c r="D23" s="36" t="n">
        <x:v>8502000000</x:v>
      </x:c>
      <x:c r="E23" s="9" t="str">
        <x:v>2025-08-31</x:v>
      </x:c>
      <x:c r="F23" s="9" t="str">
        <x:v>10-Q</x:v>
      </x:c>
      <x:c r="G23" s="9" t="str">
        <x:v>2026-09-11</x:v>
      </x:c>
      <x:c r="H23" s="9" t="str">
        <x:v>0001193125-26-389274</x:v>
      </x:c>
      <x:c r="I23" s="9" t="str">
        <x:v>us-gaap:PaymentsToAcquirePropertyPlantAndEquipment</x:v>
      </x:c>
      <x:c r="J23" s="9" t="str">
        <x:v>Exact tag, USD duration, exact start and end dates, no dimensions</x:v>
      </x:c>
      <x:c r="K23" s="9" t="str">
        <x:v>https://www.sec.gov/Archives/edgar/data/1341439/000119312526389274/orcl-20260831.htm</x:v>
      </x:c>
      <x:c r="L23" s="9"/>
      <x:c r="M23" s="9" t="str">
        <x:v>C_a0bdcecc-b2bf-40f4-8106-f50197737571</x:v>
      </x:c>
      <x:c r="N23" s="9" t="n">
        <x:v>6</x:v>
      </x:c>
      <x:c r="O23" s="9" t="str">
        <x:v>-6</x:v>
      </x:c>
      <x:c r="P23" s="9" t="str">
        <x:v>2025-06-01</x:v>
      </x:c>
      <x:c r="Q23" s="9" t="str">
        <x:v>Prior year to date</x:v>
      </x:c>
      <x:c r="R23" s="10" t="n">
        <x:v>-1</x:v>
      </x:c>
    </x:row>
    <x:row r="24" ht="48" customHeight="1">
      <x:c r="A24" s="8" t="str">
        <x:v>VST</x:v>
      </x:c>
      <x:c r="B24" s="9" t="str">
        <x:v>Cash and cash equivalents</x:v>
      </x:c>
      <x:c r="C24" s="9" t="str">
        <x:v>Cash and cash equivalents</x:v>
      </x:c>
      <x:c r="D24" s="36" t="n">
        <x:v>435000000</x:v>
      </x:c>
      <x:c r="E24" s="9" t="str">
        <x:v>2026-06-30</x:v>
      </x:c>
      <x:c r="F24" s="9" t="str">
        <x:v>10-Q</x:v>
      </x:c>
      <x:c r="G24" s="9" t="str">
        <x:v>2026-08-10</x:v>
      </x:c>
      <x:c r="H24" s="9" t="str">
        <x:v>0001692819-26-000019</x:v>
      </x:c>
      <x:c r="I24" s="9" t="str">
        <x:v>us-gaap:CashAndCashEquivalentsAtCarryingValue</x:v>
      </x:c>
      <x:c r="J24" s="9" t="str">
        <x:v>USD instant at the balance-sheet date, from the latest original 10-K or 10-Q itself</x:v>
      </x:c>
      <x:c r="K24" s="9" t="str">
        <x:v>https://www.sec.gov/Archives/edgar/data/1692819/000169281926000019/vistra-20260630.htm</x:v>
      </x:c>
      <x:c r="L24" s="9"/>
      <x:c r="M24" s="9"/>
      <x:c r="N24" s="9"/>
      <x:c r="O24" s="9"/>
      <x:c r="P24" s="9"/>
      <x:c r="Q24" s="9"/>
      <x:c r="R24" s="10"/>
    </x:row>
    <x:row r="25" ht="48" customHeight="1">
      <x:c r="A25" s="8" t="str">
        <x:v>VST</x:v>
      </x:c>
      <x:c r="B25" s="9" t="str">
        <x:v>Baseline gross debt</x:v>
      </x:c>
      <x:c r="C25" s="9" t="str">
        <x:v>Long-term debt due currently</x:v>
      </x:c>
      <x:c r="D25" s="36" t="n">
        <x:v>1876000000</x:v>
      </x:c>
      <x:c r="E25" s="9" t="str">
        <x:v>2026-06-30</x:v>
      </x:c>
      <x:c r="F25" s="9" t="str">
        <x:v>10-Q</x:v>
      </x:c>
      <x:c r="G25" s="9" t="str">
        <x:v>2026-08-10</x:v>
      </x:c>
      <x:c r="H25" s="9" t="str">
        <x:v>0001692819-26-000019</x:v>
      </x:c>
      <x:c r="I25" s="9" t="str">
        <x:v>us-gaap:LongTermDebtAndCapitalLeaseObligationsCurrent</x:v>
      </x:c>
      <x:c r="J25" s="9" t="str">
        <x:v>USD instant at the balance-sheet date, from the latest original 10-K or 10-Q itself</x:v>
      </x:c>
      <x:c r="K25" s="9" t="str">
        <x:v>https://www.sec.gov/Archives/edgar/data/1692819/000169281926000019/vistra-20260630.htm</x:v>
      </x:c>
      <x:c r="L25" s="9"/>
      <x:c r="M25" s="9"/>
      <x:c r="N25" s="9"/>
      <x:c r="O25" s="9"/>
      <x:c r="P25" s="9"/>
      <x:c r="Q25" s="9"/>
      <x:c r="R25" s="10"/>
    </x:row>
    <x:row r="26" ht="48" customHeight="1">
      <x:c r="A26" s="8" t="str">
        <x:v>VST</x:v>
      </x:c>
      <x:c r="B26" s="9" t="str">
        <x:v>Baseline gross debt</x:v>
      </x:c>
      <x:c r="C26" s="9" t="str">
        <x:v>Long-term debt, less amounts due currently</x:v>
      </x:c>
      <x:c r="D26" s="36" t="n">
        <x:v>17719000000</x:v>
      </x:c>
      <x:c r="E26" s="9" t="str">
        <x:v>2026-06-30</x:v>
      </x:c>
      <x:c r="F26" s="9" t="str">
        <x:v>10-Q</x:v>
      </x:c>
      <x:c r="G26" s="9" t="str">
        <x:v>2026-08-10</x:v>
      </x:c>
      <x:c r="H26" s="9" t="str">
        <x:v>0001692819-26-000019</x:v>
      </x:c>
      <x:c r="I26" s="9" t="str">
        <x:v>us-gaap:LongTermDebtAndCapitalLeaseObligations</x:v>
      </x:c>
      <x:c r="J26" s="9" t="str">
        <x:v>USD instant at the balance-sheet date, from the latest original 10-K or 10-Q itself</x:v>
      </x:c>
      <x:c r="K26" s="9" t="str">
        <x:v>https://www.sec.gov/Archives/edgar/data/1692819/000169281926000019/vistra-20260630.htm</x:v>
      </x:c>
      <x:c r="L26" s="9"/>
      <x:c r="M26" s="9"/>
      <x:c r="N26" s="9"/>
      <x:c r="O26" s="9"/>
      <x:c r="P26" s="9"/>
      <x:c r="Q26" s="9"/>
      <x:c r="R26" s="10"/>
    </x:row>
    <x:row r="27" ht="48" customHeight="1">
      <x:c r="A27" s="8" t="str">
        <x:v>VST</x:v>
      </x:c>
      <x:c r="B27" s="9" t="str">
        <x:v>Baseline gross debt</x:v>
      </x:c>
      <x:c r="C27" s="9" t="str">
        <x:v>Short-term borrowings</x:v>
      </x:c>
      <x:c r="D27" s="36" t="n">
        <x:v>0</x:v>
      </x:c>
      <x:c r="E27" s="9" t="str">
        <x:v>2026-06-30</x:v>
      </x:c>
      <x:c r="F27" s="9" t="str">
        <x:v>10-Q</x:v>
      </x:c>
      <x:c r="G27" s="9" t="str">
        <x:v>2026-08-10</x:v>
      </x:c>
      <x:c r="H27" s="9" t="str">
        <x:v>0001692819-26-000019</x:v>
      </x:c>
      <x:c r="I27" s="9" t="str">
        <x:v>us-gaap:ShortTermBorrowings</x:v>
      </x:c>
      <x:c r="J27" s="9" t="str">
        <x:v>USD instant at the balance-sheet date, from the latest original 10-K or 10-Q itself</x:v>
      </x:c>
      <x:c r="K27" s="9" t="str">
        <x:v>https://www.sec.gov/Archives/edgar/data/1692819/000169281926000019/vistra-20260630.htm</x:v>
      </x:c>
      <x:c r="L27" s="9"/>
      <x:c r="M27" s="9"/>
      <x:c r="N27" s="9"/>
      <x:c r="O27" s="9"/>
      <x:c r="P27" s="9"/>
      <x:c r="Q27" s="9"/>
      <x:c r="R27" s="10"/>
    </x:row>
    <x:row r="28" ht="48" customHeight="1">
      <x:c r="A28" s="8" t="str">
        <x:v>VST</x:v>
      </x:c>
      <x:c r="B28" s="9" t="str">
        <x:v>Baseline gross debt</x:v>
      </x:c>
      <x:c r="C28" s="9" t="str">
        <x:v>Accounts receivable financing</x:v>
      </x:c>
      <x:c r="D28" s="36" t="n">
        <x:v>300000000</x:v>
      </x:c>
      <x:c r="E28" s="9" t="str">
        <x:v>2026-06-30</x:v>
      </x:c>
      <x:c r="F28" s="9" t="str">
        <x:v>10-Q</x:v>
      </x:c>
      <x:c r="G28" s="9" t="str">
        <x:v>2026-08-10</x:v>
      </x:c>
      <x:c r="H28" s="9" t="str">
        <x:v>0001692819-26-000019</x:v>
      </x:c>
      <x:c r="I28" s="9" t="str">
        <x:v>vistra:AccountsReceivableSecuritizationProgramAmountsBorrowed</x:v>
      </x:c>
      <x:c r="J28" s="9" t="str">
        <x:v>USD instant at the balance-sheet date in the checked filing document, no dimensions</x:v>
      </x:c>
      <x:c r="K28" s="9" t="str">
        <x:v>https://www.sec.gov/Archives/edgar/data/1692819/000169281926000019/vistra-20260630.htm</x:v>
      </x:c>
      <x:c r="L28" s="9"/>
      <x:c r="M28" s="9" t="str">
        <x:v>c-8</x:v>
      </x:c>
      <x:c r="N28" s="9" t="n">
        <x:v>6</x:v>
      </x:c>
      <x:c r="O28" s="9" t="str">
        <x:v>-6</x:v>
      </x:c>
      <x:c r="P28" s="9"/>
      <x:c r="Q28" s="9"/>
      <x:c r="R28" s="10"/>
    </x:row>
    <x:row r="29" ht="48" customHeight="1">
      <x:c r="A29" s="8" t="str">
        <x:v>VST</x:v>
      </x:c>
      <x:c r="B29" s="9" t="str">
        <x:v>Current ratio</x:v>
      </x:c>
      <x:c r="C29" s="9" t="str">
        <x:v>Current assets</x:v>
      </x:c>
      <x:c r="D29" s="36" t="n">
        <x:v>10276000000</x:v>
      </x:c>
      <x:c r="E29" s="9" t="str">
        <x:v>2026-06-30</x:v>
      </x:c>
      <x:c r="F29" s="9" t="str">
        <x:v>10-Q</x:v>
      </x:c>
      <x:c r="G29" s="9" t="str">
        <x:v>2026-08-10</x:v>
      </x:c>
      <x:c r="H29" s="9" t="str">
        <x:v>0001692819-26-000019</x:v>
      </x:c>
      <x:c r="I29" s="9" t="str">
        <x:v>us-gaap:AssetsCurrent</x:v>
      </x:c>
      <x:c r="J29" s="9" t="str">
        <x:v>USD instant at the balance-sheet date, from the latest original 10-K or 10-Q itself</x:v>
      </x:c>
      <x:c r="K29" s="9" t="str">
        <x:v>https://www.sec.gov/Archives/edgar/data/1692819/000169281926000019/vistra-20260630.htm</x:v>
      </x:c>
      <x:c r="L29" s="9"/>
      <x:c r="M29" s="9"/>
      <x:c r="N29" s="9"/>
      <x:c r="O29" s="9"/>
      <x:c r="P29" s="9"/>
      <x:c r="Q29" s="9"/>
      <x:c r="R29" s="10"/>
    </x:row>
    <x:row r="30" ht="48" customHeight="1">
      <x:c r="A30" s="8" t="str">
        <x:v>VST</x:v>
      </x:c>
      <x:c r="B30" s="9" t="str">
        <x:v>Current ratio</x:v>
      </x:c>
      <x:c r="C30" s="9" t="str">
        <x:v>Current liabilities</x:v>
      </x:c>
      <x:c r="D30" s="36" t="n">
        <x:v>10557000000</x:v>
      </x:c>
      <x:c r="E30" s="9" t="str">
        <x:v>2026-06-30</x:v>
      </x:c>
      <x:c r="F30" s="9" t="str">
        <x:v>10-Q</x:v>
      </x:c>
      <x:c r="G30" s="9" t="str">
        <x:v>2026-08-10</x:v>
      </x:c>
      <x:c r="H30" s="9" t="str">
        <x:v>0001692819-26-000019</x:v>
      </x:c>
      <x:c r="I30" s="9" t="str">
        <x:v>us-gaap:LiabilitiesCurrent</x:v>
      </x:c>
      <x:c r="J30" s="9" t="str">
        <x:v>USD instant at the balance-sheet date, from the latest original 10-K or 10-Q itself</x:v>
      </x:c>
      <x:c r="K30" s="9" t="str">
        <x:v>https://www.sec.gov/Archives/edgar/data/1692819/000169281926000019/vistra-20260630.htm</x:v>
      </x:c>
      <x:c r="L30" s="9"/>
      <x:c r="M30" s="9"/>
      <x:c r="N30" s="9"/>
      <x:c r="O30" s="9"/>
      <x:c r="P30" s="9"/>
      <x:c r="Q30" s="9"/>
      <x:c r="R30" s="10"/>
    </x:row>
    <x:row r="31" ht="48" customHeight="1">
      <x:c r="A31" s="8" t="str">
        <x:v>VST</x:v>
      </x:c>
      <x:c r="B31" s="9" t="str">
        <x:v>Operating cash flow</x:v>
      </x:c>
      <x:c r="C31" s="9" t="str">
        <x:v>Operating cash flow · fiscal year</x:v>
      </x:c>
      <x:c r="D31" s="36" t="n">
        <x:v>4070000000</x:v>
      </x:c>
      <x:c r="E31" s="9" t="str">
        <x:v>2025-12-31</x:v>
      </x:c>
      <x:c r="F31" s="9" t="str">
        <x:v>10-K</x:v>
      </x:c>
      <x:c r="G31" s="9" t="str">
        <x:v>2026-02-27</x:v>
      </x:c>
      <x:c r="H31" s="9" t="str">
        <x:v>0001692819-26-000006</x:v>
      </x:c>
      <x:c r="I31" s="9" t="str">
        <x:v>us-gaap:NetCashProvidedByUsedInOperatingActivities</x:v>
      </x:c>
      <x:c r="J31" s="9" t="str">
        <x:v>Exact tag, USD duration, exact start and end dates, no dimensions</x:v>
      </x:c>
      <x:c r="K31" s="9" t="str">
        <x:v>https://www.sec.gov/Archives/edgar/data/1692819/000169281926000006/vistra-20251231.htm</x:v>
      </x:c>
      <x:c r="L31" s="9"/>
      <x:c r="M31" s="9" t="str">
        <x:v>c-1</x:v>
      </x:c>
      <x:c r="N31" s="9" t="n">
        <x:v>6</x:v>
      </x:c>
      <x:c r="O31" s="9" t="str">
        <x:v>-6</x:v>
      </x:c>
      <x:c r="P31" s="9" t="str">
        <x:v>2025-01-01</x:v>
      </x:c>
      <x:c r="Q31" s="9" t="str">
        <x:v>Fiscal year</x:v>
      </x:c>
      <x:c r="R31" s="10" t="n">
        <x:v>1</x:v>
      </x:c>
    </x:row>
    <x:row r="32" ht="48" customHeight="1">
      <x:c r="A32" s="8" t="str">
        <x:v>VST</x:v>
      </x:c>
      <x:c r="B32" s="9" t="str">
        <x:v>Operating cash flow</x:v>
      </x:c>
      <x:c r="C32" s="9" t="str">
        <x:v>Operating cash flow · current year to date</x:v>
      </x:c>
      <x:c r="D32" s="36" t="n">
        <x:v>2222000000</x:v>
      </x:c>
      <x:c r="E32" s="9" t="str">
        <x:v>2026-06-30</x:v>
      </x:c>
      <x:c r="F32" s="9" t="str">
        <x:v>10-Q</x:v>
      </x:c>
      <x:c r="G32" s="9" t="str">
        <x:v>2026-08-10</x:v>
      </x:c>
      <x:c r="H32" s="9" t="str">
        <x:v>0001692819-26-000019</x:v>
      </x:c>
      <x:c r="I32" s="9" t="str">
        <x:v>us-gaap:NetCashProvidedByUsedInOperatingActivities</x:v>
      </x:c>
      <x:c r="J32" s="9" t="str">
        <x:v>Exact tag, USD duration, exact start and end dates, no dimensions</x:v>
      </x:c>
      <x:c r="K32" s="9" t="str">
        <x:v>https://www.sec.gov/Archives/edgar/data/1692819/000169281926000019/vistra-20260630.htm</x:v>
      </x:c>
      <x:c r="L32" s="9"/>
      <x:c r="M32" s="9" t="str">
        <x:v>c-1</x:v>
      </x:c>
      <x:c r="N32" s="9" t="n">
        <x:v>6</x:v>
      </x:c>
      <x:c r="O32" s="9" t="str">
        <x:v>-6</x:v>
      </x:c>
      <x:c r="P32" s="9" t="str">
        <x:v>2026-01-01</x:v>
      </x:c>
      <x:c r="Q32" s="9" t="str">
        <x:v>Current year to date</x:v>
      </x:c>
      <x:c r="R32" s="10" t="n">
        <x:v>1</x:v>
      </x:c>
    </x:row>
    <x:row r="33" ht="48" customHeight="1">
      <x:c r="A33" s="8" t="str">
        <x:v>VST</x:v>
      </x:c>
      <x:c r="B33" s="9" t="str">
        <x:v>Operating cash flow</x:v>
      </x:c>
      <x:c r="C33" s="9" t="str">
        <x:v>Operating cash flow · prior year to date</x:v>
      </x:c>
      <x:c r="D33" s="36" t="n">
        <x:v>1171000000</x:v>
      </x:c>
      <x:c r="E33" s="9" t="str">
        <x:v>2025-06-30</x:v>
      </x:c>
      <x:c r="F33" s="9" t="str">
        <x:v>10-Q</x:v>
      </x:c>
      <x:c r="G33" s="9" t="str">
        <x:v>2026-08-10</x:v>
      </x:c>
      <x:c r="H33" s="9" t="str">
        <x:v>0001692819-26-000019</x:v>
      </x:c>
      <x:c r="I33" s="9" t="str">
        <x:v>us-gaap:NetCashProvidedByUsedInOperatingActivities</x:v>
      </x:c>
      <x:c r="J33" s="9" t="str">
        <x:v>Exact tag, USD duration, exact start and end dates, no dimensions</x:v>
      </x:c>
      <x:c r="K33" s="9" t="str">
        <x:v>https://www.sec.gov/Archives/edgar/data/1692819/000169281926000019/vistra-20260630.htm</x:v>
      </x:c>
      <x:c r="L33" s="9"/>
      <x:c r="M33" s="9" t="str">
        <x:v>c-7</x:v>
      </x:c>
      <x:c r="N33" s="9" t="n">
        <x:v>6</x:v>
      </x:c>
      <x:c r="O33" s="9" t="str">
        <x:v>-6</x:v>
      </x:c>
      <x:c r="P33" s="9" t="str">
        <x:v>2025-01-01</x:v>
      </x:c>
      <x:c r="Q33" s="9" t="str">
        <x:v>Prior year to date</x:v>
      </x:c>
      <x:c r="R33" s="10" t="n">
        <x:v>-1</x:v>
      </x:c>
    </x:row>
    <x:row r="34" ht="48" customHeight="1">
      <x:c r="A34" s="8" t="str">
        <x:v>VST</x:v>
      </x:c>
      <x:c r="B34" s="9" t="str">
        <x:v>Capital expenditures, including nuclear fuel and LTSA prepayments</x:v>
      </x:c>
      <x:c r="C34" s="9" t="str">
        <x:v>Capital expenditures, including nuclear fuel and LTSA prepayments · fiscal year</x:v>
      </x:c>
      <x:c r="D34" s="36" t="n">
        <x:v>2752000000</x:v>
      </x:c>
      <x:c r="E34" s="9" t="str">
        <x:v>2025-12-31</x:v>
      </x:c>
      <x:c r="F34" s="9" t="str">
        <x:v>10-K</x:v>
      </x:c>
      <x:c r="G34" s="9" t="str">
        <x:v>2026-02-27</x:v>
      </x:c>
      <x:c r="H34" s="9" t="str">
        <x:v>0001692819-26-000006</x:v>
      </x:c>
      <x:c r="I34" s="9" t="str">
        <x:v>us-gaap:PaymentsToAcquirePropertyPlantAndEquipment</x:v>
      </x:c>
      <x:c r="J34" s="9" t="str">
        <x:v>Exact tag, USD duration, exact start and end dates, no dimensions</x:v>
      </x:c>
      <x:c r="K34" s="9" t="str">
        <x:v>https://www.sec.gov/Archives/edgar/data/1692819/000169281926000006/vistra-20251231.htm</x:v>
      </x:c>
      <x:c r="L34" s="9"/>
      <x:c r="M34" s="9" t="str">
        <x:v>c-1</x:v>
      </x:c>
      <x:c r="N34" s="9" t="n">
        <x:v>6</x:v>
      </x:c>
      <x:c r="O34" s="9" t="str">
        <x:v>-6</x:v>
      </x:c>
      <x:c r="P34" s="9" t="str">
        <x:v>2025-01-01</x:v>
      </x:c>
      <x:c r="Q34" s="9" t="str">
        <x:v>Fiscal year</x:v>
      </x:c>
      <x:c r="R34" s="10" t="n">
        <x:v>1</x:v>
      </x:c>
    </x:row>
    <x:row r="35" ht="48" customHeight="1">
      <x:c r="A35" s="8" t="str">
        <x:v>VST</x:v>
      </x:c>
      <x:c r="B35" s="9" t="str">
        <x:v>Capital expenditures, including nuclear fuel and LTSA prepayments</x:v>
      </x:c>
      <x:c r="C35" s="9" t="str">
        <x:v>Capital expenditures, including nuclear fuel and LTSA prepayments · current year to date</x:v>
      </x:c>
      <x:c r="D35" s="36" t="n">
        <x:v>1572000000</x:v>
      </x:c>
      <x:c r="E35" s="9" t="str">
        <x:v>2026-06-30</x:v>
      </x:c>
      <x:c r="F35" s="9" t="str">
        <x:v>10-Q</x:v>
      </x:c>
      <x:c r="G35" s="9" t="str">
        <x:v>2026-08-10</x:v>
      </x:c>
      <x:c r="H35" s="9" t="str">
        <x:v>0001692819-26-000019</x:v>
      </x:c>
      <x:c r="I35" s="9" t="str">
        <x:v>us-gaap:PaymentsToAcquirePropertyPlantAndEquipment</x:v>
      </x:c>
      <x:c r="J35" s="9" t="str">
        <x:v>Exact tag, USD duration, exact start and end dates, no dimensions</x:v>
      </x:c>
      <x:c r="K35" s="9" t="str">
        <x:v>https://www.sec.gov/Archives/edgar/data/1692819/000169281926000019/vistra-20260630.htm</x:v>
      </x:c>
      <x:c r="L35" s="9"/>
      <x:c r="M35" s="9" t="str">
        <x:v>c-1</x:v>
      </x:c>
      <x:c r="N35" s="9" t="n">
        <x:v>6</x:v>
      </x:c>
      <x:c r="O35" s="9" t="str">
        <x:v>-6</x:v>
      </x:c>
      <x:c r="P35" s="9" t="str">
        <x:v>2026-01-01</x:v>
      </x:c>
      <x:c r="Q35" s="9" t="str">
        <x:v>Current year to date</x:v>
      </x:c>
      <x:c r="R35" s="10" t="n">
        <x:v>1</x:v>
      </x:c>
    </x:row>
    <x:row r="36" ht="48" customHeight="1">
      <x:c r="A36" s="11" t="str">
        <x:v>VST</x:v>
      </x:c>
      <x:c r="B36" s="12" t="str">
        <x:v>Capital expenditures, including nuclear fuel and LTSA prepayments</x:v>
      </x:c>
      <x:c r="C36" s="12" t="str">
        <x:v>Capital expenditures, including nuclear fuel and LTSA prepayments · prior year to date</x:v>
      </x:c>
      <x:c r="D36" s="37" t="n">
        <x:v>1458000000</x:v>
      </x:c>
      <x:c r="E36" s="12" t="str">
        <x:v>2025-06-30</x:v>
      </x:c>
      <x:c r="F36" s="12" t="str">
        <x:v>10-Q</x:v>
      </x:c>
      <x:c r="G36" s="12" t="str">
        <x:v>2026-08-10</x:v>
      </x:c>
      <x:c r="H36" s="12" t="str">
        <x:v>0001692819-26-000019</x:v>
      </x:c>
      <x:c r="I36" s="12" t="str">
        <x:v>us-gaap:PaymentsToAcquirePropertyPlantAndEquipment</x:v>
      </x:c>
      <x:c r="J36" s="12" t="str">
        <x:v>Exact tag, USD duration, exact start and end dates, no dimensions</x:v>
      </x:c>
      <x:c r="K36" s="12" t="str">
        <x:v>https://www.sec.gov/Archives/edgar/data/1692819/000169281926000019/vistra-20260630.htm</x:v>
      </x:c>
      <x:c r="L36" s="12"/>
      <x:c r="M36" s="12" t="str">
        <x:v>c-7</x:v>
      </x:c>
      <x:c r="N36" s="12" t="n">
        <x:v>6</x:v>
      </x:c>
      <x:c r="O36" s="12" t="str">
        <x:v>-6</x:v>
      </x:c>
      <x:c r="P36" s="12" t="str">
        <x:v>2025-01-01</x:v>
      </x:c>
      <x:c r="Q36" s="12" t="str">
        <x:v>Prior year to date</x:v>
      </x:c>
      <x:c r="R36" s="13" t="n">
        <x:v>-1</x:v>
      </x:c>
    </x:row>
  </x:sheetData>
  <x:hyperlinks xmlns:r="http://schemas.openxmlformats.org/officeDocument/2006/relationships">
    <x:hyperlink ref="K2" r:id="rIdSource1"/>
    <x:hyperlink ref="K3" r:id="rIdSource2"/>
    <x:hyperlink ref="K4" r:id="rIdSource3"/>
    <x:hyperlink ref="K5" r:id="rIdSource4"/>
    <x:hyperlink ref="K6" r:id="rIdSource5"/>
    <x:hyperlink ref="K7" r:id="rIdSource6"/>
    <x:hyperlink ref="K8" r:id="rIdSource7"/>
    <x:hyperlink ref="K9" r:id="rIdSource8"/>
    <x:hyperlink ref="K10" r:id="rIdSource9"/>
    <x:hyperlink ref="K11" r:id="rIdSource10"/>
    <x:hyperlink ref="K12" r:id="rIdSource11"/>
    <x:hyperlink ref="K13" r:id="rIdSource12"/>
    <x:hyperlink ref="K14" r:id="rIdSource13"/>
    <x:hyperlink ref="K15" r:id="rIdSource14"/>
    <x:hyperlink ref="K16" r:id="rIdSource15"/>
    <x:hyperlink ref="K17" r:id="rIdSource16"/>
    <x:hyperlink ref="K18" r:id="rIdSource17"/>
    <x:hyperlink ref="K19" r:id="rIdSource18"/>
    <x:hyperlink ref="K20" r:id="rIdSource19"/>
    <x:hyperlink ref="K21" r:id="rIdSource20"/>
    <x:hyperlink ref="K22" r:id="rIdSource21"/>
    <x:hyperlink ref="K23" r:id="rIdSource22"/>
    <x:hyperlink ref="K24" r:id="rIdSource23"/>
    <x:hyperlink ref="K25" r:id="rIdSource24"/>
    <x:hyperlink ref="K26" r:id="rIdSource25"/>
    <x:hyperlink ref="K27" r:id="rIdSource26"/>
    <x:hyperlink ref="K28" r:id="rIdSource27"/>
    <x:hyperlink ref="K29" r:id="rIdSource28"/>
    <x:hyperlink ref="K30" r:id="rIdSource29"/>
    <x:hyperlink ref="K31" r:id="rIdSource30"/>
    <x:hyperlink ref="K32" r:id="rIdSource31"/>
    <x:hyperlink ref="K33" r:id="rIdSource32"/>
    <x:hyperlink ref="K34" r:id="rIdSource33"/>
    <x:hyperlink ref="K35" r:id="rIdSource34"/>
    <x:hyperlink ref="K36" r:id="rIdSource35"/>
  </x:hyperlink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0" hidden="0" customWidth="1"/>
    <x:col min="2" max="2" width="110" hidden="0" customWidth="1"/>
  </x:cols>
  <x:sheetData>
    <x:row r="1" ht="65" customHeight="1">
      <x:c r="A1" s="23" t="str">
        <x:v>Item</x:v>
      </x:c>
      <x:c r="B1" s="25" t="str">
        <x:v>Description</x:v>
      </x:c>
    </x:row>
    <x:row r="2" ht="65" customHeight="1">
      <x:c r="A2" s="8" t="str">
        <x:v>Snapshot</x:v>
      </x:c>
      <x:c r="B2" s="10" t="str">
        <x:v>Saved pilot evidence checked October 14, 2026. Not live data or investment advice.</x:v>
      </x:c>
    </x:row>
    <x:row r="3" ht="65" customHeight="1">
      <x:c r="A3" s="8" t="str">
        <x:v>Units</x:v>
      </x:c>
      <x:c r="B3" s="10" t="str">
        <x:v>Dollar inputs are stored in USD and displayed in millions. Ratios are multiples.</x:v>
      </x:c>
    </x:row>
    <x:row r="4" ht="65" customHeight="1">
      <x:c r="A4" s="8" t="str">
        <x:v>Calculation</x:v>
      </x:c>
      <x:c r="B4" s="10" t="str">
        <x:v>Excel recalculates formulas when opened. Each formula traces to reported inputs.</x:v>
      </x:c>
    </x:row>
    <x:row r="5" ht="65" customHeight="1">
      <x:c r="A5" s="8" t="str">
        <x:v>Colors</x:v>
      </x:c>
      <x:c r="B5" s="10" t="str">
        <x:v>Blue numbers are reported inputs. Green formulas link a reported value from another sheet. Black formulas calculate results.</x:v>
      </x:c>
    </x:row>
    <x:row r="6" ht="65" customHeight="1">
      <x:c r="A6" s="8" t="str">
        <x:v>Scope</x:v>
      </x:c>
      <x:c r="B6" s="10" t="str">
        <x:v>Baseline borrowing excludes leases. FCF subtracts the reported capital-spending line from OCF; acquisitions are excluded. Historical flow/debt ratios are not repayment forecasts. This is not a complete obligations analysis.</x:v>
      </x:c>
    </x:row>
    <x:row r="7" ht="68" customHeight="1">
      <x:c r="A7" s="11" t="str">
        <x:v>Scope and dates</x:v>
      </x:c>
      <x:c r="B7" s="13" t="str">
        <x:v>Core metric summary only. LLY/VST: June 30, 2026; ORCL: August 31, 2026. Fiscal calendars and capital-spending definitions differ. This is not a peer ranking or a complete obligations review.</x:v>
      </x:c>
    </x:row>
    <x:row r="8" ht="68" customHeight="1">
      <x:c r="A8" s="38" t="str">
        <x:v>Full reviews</x:v>
      </x:c>
      <x:c r="B8" s="39" t="str">
        <x:v>Use the primary LLY, ORCL and VST downloads for funding conclusions, leases, interest coverage, history, charts and company-specific obligations.</x:v>
      </x:c>
    </x:row>
    <x:row r="9" ht="68" customHeight="1">
      <x:c r="A9" s="40" t="str">
        <x:v>Source links</x:v>
      </x:c>
      <x:c r="B9" s="41" t="str">
        <x:v>Source URLs are retained in Liquidity inputs. Select a URL to open its filing.</x:v>
      </x:c>
    </x:row>
  </x:sheetData>
  <x:pageMargins left="0.7" right="0.7" top="0.75" bottom="0.75" header="0.3" footer="0.3"/>
</x:worksheet>
</file>