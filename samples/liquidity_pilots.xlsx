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c923e95190457a" /></Relationships>
</file>

<file path=xl/workbook.xml><?xml version="1.0" encoding="utf-8"?>
<x:workbook xmlns:x="http://schemas.openxmlformats.org/spreadsheetml/2006/main">
  <x:sheets>
    <x:sheet xmlns:r="http://schemas.openxmlformats.org/officeDocument/2006/relationships" name="Debt and liquidity" sheetId="1" r:id="R3a49a3edc69f44b5"/>
    <x:sheet xmlns:r="http://schemas.openxmlformats.org/officeDocument/2006/relationships" name="Liquidity inputs" sheetId="2" r:id="Re7ff923a87da4f23"/>
    <x:sheet xmlns:r="http://schemas.openxmlformats.org/officeDocument/2006/relationships" name="About" sheetId="3" r:id="R54f6dfc4bb77426d"/>
    <x:sheet xmlns:r="http://schemas.openxmlformats.org/officeDocument/2006/relationships" name="Other obligations" sheetId="4" r:id="Rbda045450c6745d0"/>
    <x:sheet xmlns:r="http://schemas.openxmlformats.org/officeDocument/2006/relationships" name="Oracle maturities" sheetId="5" r:id="R560f0e3c23854ab5"/>
    <x:sheet xmlns:r="http://schemas.openxmlformats.org/officeDocument/2006/relationships" name="Oracle debt inputs" sheetId="6" r:id="Rd6938bbe8d414126"/>
    <x:sheet xmlns:r="http://schemas.openxmlformats.org/officeDocument/2006/relationships" name="Oracle financing" sheetId="7" r:id="R61598e31081c413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164" formatCode="#,##0,,;(#,##0,,);&quot;-&quot;"/>
    <x:numFmt numFmtId="165" formatCode="0.00&quot;x&quot;"/>
    <x:numFmt numFmtId="166" formatCode="0.0%;(0.0%);&quot;-&quot;"/>
    <x:numFmt numFmtId="167" formatCode="yyyy-mm-dd h:mm:ss"/>
    <x:numFmt numFmtId="168" formatCode="mmm d, yyyy"/>
    <x:numFmt numFmtId="169" formatCode="#,##0.00,,;(#,##0.00,,);&quot;-&quot;"/>
    <x:numFmt numFmtId="200" formatCode="#,##0.00,,;(#,##0.00,,);0.00"/>
  </x:numFmts>
  <x:fonts count="5">
    <x:font>
      <x:sz val="11"/>
      <x:color theme="1"/>
      <x:name val="Calibri"/>
      <x:family val="2"/>
      <x:scheme val="minor"/>
    </x:font>
    <x:font>
      <x:sz val="10"/>
      <x:color rgb="FF0000FF"/>
      <x:name val="Arial"/>
    </x:font>
    <x:font>
      <x:sz val="10"/>
      <x:color rgb="FF008000"/>
      <x:name val="Arial"/>
    </x:font>
    <x:font>
      <x:b/>
      <x:sz val="10"/>
      <x:color rgb="FF000000"/>
      <x:name val="Arial"/>
    </x:font>
    <x:font>
      <x:sz val="10"/>
      <x:color rgb="FF000000"/>
      <x:name val="Arial"/>
    </x:font>
  </x:fonts>
  <x:fills count="6">
    <x:fill>
      <x:patternFill patternType="none"/>
    </x:fill>
    <x:fill>
      <x:patternFill patternType="gray125"/>
    </x:fill>
    <x:fill>
      <x:patternFill patternType="solid">
        <x:fgColor rgb="FFF0F2F5"/>
      </x:patternFill>
    </x:fill>
    <x:fill>
      <x:patternFill patternType="solid">
        <x:fgColor rgb="FFFFFFFF"/>
      </x:patternFill>
    </x:fill>
    <x:fill>
      <x:patternFill patternType="solid">
        <x:fgColor rgb="FFF0F2F5"/>
      </x:patternFill>
    </x:fill>
    <x:fill>
      <x:patternFill patternType="solid">
        <x:fgColor rgb="FFFFFFFF"/>
      </x:patternFill>
    </x:fill>
  </x:fills>
  <x:borders count="24">
    <x:border>
      <x:left/>
      <x:right/>
      <x:top/>
      <x:bottom/>
      <x:diagonal/>
    </x:border>
    <x:border>
      <x:left style="thin">
        <x:color rgb="FFBBC3CD"/>
      </x:left>
      <x:right/>
      <x:top style="thin">
        <x:color rgb="FFBBC3CD"/>
      </x:top>
      <x:bottom/>
      <x:diagonal/>
    </x:border>
    <x:border>
      <x:left/>
      <x:right/>
      <x:top style="thin">
        <x:color rgb="FFBBC3CD"/>
      </x:top>
      <x:bottom/>
      <x:diagonal/>
    </x:border>
    <x:border>
      <x:left/>
      <x:right style="thin">
        <x:color rgb="FFBBC3CD"/>
      </x:right>
      <x:top style="thin">
        <x:color rgb="FFBBC3CD"/>
      </x:top>
      <x:bottom/>
      <x:diagonal/>
    </x:border>
    <x:border>
      <x:left style="thin">
        <x:color rgb="FFBBC3CD"/>
      </x:left>
      <x:right/>
      <x:top/>
      <x:bottom/>
      <x:diagonal/>
    </x:border>
    <x:border>
      <x:left/>
      <x:right style="thin">
        <x:color rgb="FFBBC3CD"/>
      </x:right>
      <x:top/>
      <x:bottom/>
      <x:diagonal/>
    </x:border>
    <x:border>
      <x:left style="thin">
        <x:color rgb="FFBBC3CD"/>
      </x:left>
      <x:right/>
      <x:top/>
      <x:bottom style="thin">
        <x:color rgb="FFBBC3CD"/>
      </x:bottom>
      <x:diagonal/>
    </x:border>
    <x:border>
      <x:left/>
      <x:right/>
      <x:top/>
      <x:bottom style="thin">
        <x:color rgb="FFBBC3CD"/>
      </x:bottom>
      <x:diagonal/>
    </x:border>
    <x:border>
      <x:left/>
      <x:right style="thin">
        <x:color rgb="FFBBC3CD"/>
      </x:right>
      <x:top/>
      <x:bottom style="thin">
        <x:color rgb="FFBBC3CD"/>
      </x:bottom>
      <x:diagonal/>
    </x:border>
    <x:border>
      <x:left style="thin">
        <x:color rgb="FFBBC3CD"/>
      </x:left>
      <x:right/>
      <x:top style="thin">
        <x:color rgb="FFBBC3CD"/>
      </x:top>
      <x:bottom style="thin">
        <x:color rgb="FFBBC3CD"/>
      </x:bottom>
      <x:diagonal/>
    </x:border>
    <x:border>
      <x:left/>
      <x:right/>
      <x:top style="thin">
        <x:color rgb="FFBBC3CD"/>
      </x:top>
      <x:bottom style="thin">
        <x:color rgb="FFBBC3CD"/>
      </x:bottom>
      <x:diagonal/>
    </x:border>
    <x:border>
      <x:left/>
      <x:right style="thin">
        <x:color rgb="FFBBC3CD"/>
      </x:right>
      <x:top style="thin">
        <x:color rgb="FFBBC3CD"/>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BBC3CD"/>
      </x:left>
      <x:right style="thin">
        <x:color rgb="FFDDE2E7"/>
      </x:right>
      <x:top/>
      <x:bottom style="thin">
        <x:color rgb="FFBBC3CD"/>
      </x:bottom>
      <x:diagonal/>
    </x:border>
    <x:border>
      <x:left style="thin">
        <x:color rgb="FFDDE2E7"/>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s>
  <x:cellStyleXfs count="1">
    <x:xf numFmtId="0" fontId="0" fillId="0" borderId="0"/>
  </x:cellStyleXfs>
  <x:cellXfs count="148">
    <x:xf numFmtId="0" fontId="0" fillId="0" borderId="0" xfId="0"/>
    <x:xf numFmtId="0" fontId="3" fillId="0" borderId="0" xfId="0" applyAlignment="1">
      <x:alignment vertical="top" wrapText="1"/>
    </x:xf>
    <x:xf numFmtId="0" fontId="4" fillId="0" borderId="0" xfId="0" applyAlignment="1">
      <x:alignment vertical="top" wrapText="1"/>
    </x:xf>
    <x:xf numFmtId="164" fontId="2" fillId="0" borderId="0" xfId="0" applyAlignment="1">
      <x:alignment vertical="top" wrapText="1"/>
    </x:xf>
    <x:xf numFmtId="164" fontId="4" fillId="0" borderId="0" xfId="0" applyAlignment="1">
      <x:alignment vertical="top" wrapText="1"/>
    </x:xf>
    <x:xf numFmtId="165" fontId="4" fillId="0" borderId="0" xfId="0" applyAlignment="1">
      <x:alignment vertical="top" wrapText="1"/>
    </x:xf>
    <x:xf numFmtId="166" fontId="4" fillId="0" borderId="0" xfId="0" applyAlignment="1">
      <x:alignment vertical="top" wrapText="1"/>
    </x:xf>
    <x:xf numFmtId="164" fontId="1" fillId="0" borderId="0" xfId="0" applyAlignment="1">
      <x:alignment vertical="top" wrapText="1"/>
    </x:xf>
    <x:xf numFmtId="168" fontId="4" fillId="0" borderId="0" xfId="0" applyAlignment="1">
      <x:alignment vertical="top" wrapText="1"/>
    </x:xf>
    <x:xf numFmtId="0" fontId="4" fillId="0" borderId="0" xfId="0" applyAlignment="1">
      <x:alignment vertical="top" wrapText="1"/>
    </x:xf>
    <x:xf numFmtId="169" fontId="4" fillId="0" borderId="0" xfId="0"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164" fontId="2" fillId="0" borderId="0" xfId="0" applyNumberFormat="1" applyFont="1" applyFill="1" applyBorder="1" applyAlignment="1">
      <x:alignment vertical="top" wrapText="1"/>
    </x:xf>
    <x:xf numFmtId="164" fontId="4" fillId="0" borderId="0" xfId="0" applyNumberFormat="1" applyFont="1" applyFill="1" applyBorder="1" applyAlignment="1">
      <x:alignment vertical="top" wrapText="1"/>
    </x:xf>
    <x:xf numFmtId="165" fontId="4" fillId="0" borderId="0" xfId="0" applyNumberFormat="1" applyFont="1" applyFill="1" applyBorder="1" applyAlignment="1">
      <x:alignment vertical="top" wrapText="1"/>
    </x:xf>
    <x:xf numFmtId="166" fontId="4"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166"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2" borderId="9"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top" wrapText="1"/>
    </x:xf>
    <x:xf numFmtId="0" fontId="3" fillId="2" borderId="11" xfId="0" applyNumberFormat="1" applyFont="1" applyFill="1" applyBorder="1" applyAlignment="1">
      <x:alignment horizontal="center" vertical="top" wrapText="1"/>
    </x:xf>
    <x:xf numFmtId="164" fontId="1" fillId="0" borderId="0" xfId="0" applyNumberFormat="1" applyFont="1" applyFill="1" applyBorder="1" applyAlignment="1">
      <x:alignment vertical="top" wrapText="1"/>
    </x:xf>
    <x:xf numFmtId="164" fontId="1" fillId="0" borderId="7" xfId="0" applyNumberFormat="1" applyFont="1" applyFill="1" applyBorder="1" applyAlignment="1">
      <x:alignment vertical="top" wrapText="1"/>
    </x:xf>
    <x:xf numFmtId="168" fontId="4" fillId="0" borderId="0" xfId="0" applyNumberFormat="1" applyFont="1" applyFill="1" applyBorder="1" applyAlignment="1">
      <x:alignment vertical="top" wrapText="1"/>
    </x:xf>
    <x:xf numFmtId="169" fontId="4" fillId="0" borderId="0" xfId="0" applyNumberFormat="1" applyFont="1" applyFill="1" applyBorder="1" applyAlignment="1">
      <x:alignment vertical="top" wrapText="1"/>
    </x:xf>
    <x:xf numFmtId="168" fontId="4" fillId="0" borderId="7" xfId="0" applyNumberFormat="1" applyFont="1" applyFill="1" applyBorder="1" applyAlignment="1">
      <x:alignment vertical="top" wrapText="1"/>
    </x:xf>
    <x:xf numFmtId="164" fontId="4" fillId="0" borderId="7" xfId="0" applyNumberFormat="1" applyFont="1" applyFill="1" applyBorder="1" applyAlignment="1">
      <x:alignment vertical="top" wrapText="1"/>
    </x:xf>
    <x:xf numFmtId="168" fontId="4" fillId="0" borderId="4" xfId="0" applyNumberFormat="1" applyFont="1" applyFill="1" applyBorder="1" applyAlignment="1">
      <x:alignment vertical="top" wrapText="1"/>
    </x:xf>
    <x:xf numFmtId="168" fontId="4" fillId="0" borderId="6"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164" fontId="2"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6" xfId="0" applyNumberFormat="1" applyFont="1" applyFill="1" applyBorder="1" applyAlignment="1">
      <x:alignment vertical="top" wrapText="1"/>
    </x:xf>
    <x:xf numFmtId="164" fontId="1" fillId="0" borderId="0" xfId="0" applyNumberFormat="1" applyFont="1" applyFill="1" applyBorder="1" applyAlignment="1">
      <x:alignment horizontal="right" vertical="top" wrapText="1"/>
    </x:xf>
    <x:xf numFmtId="164" fontId="1" fillId="0" borderId="7" xfId="0" applyNumberFormat="1" applyFont="1" applyFill="1" applyBorder="1" applyAlignment="1">
      <x:alignment horizontal="right" vertical="top" wrapText="1"/>
    </x:xf>
    <x:xf numFmtId="168" fontId="3" fillId="0" borderId="0" xfId="0" applyNumberFormat="1" applyFont="1" applyFill="1" applyBorder="1" applyAlignment="1">
      <x:alignment vertical="top" wrapText="1"/>
    </x:xf>
    <x:xf numFmtId="164"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168" fontId="3" fillId="0" borderId="2" xfId="0" applyNumberFormat="1" applyFont="1" applyFill="1" applyBorder="1" applyAlignment="1">
      <x:alignment vertical="top" wrapText="1"/>
    </x:xf>
    <x:xf numFmtId="164" fontId="3" fillId="0" borderId="2"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3" borderId="4" xfId="0" applyNumberFormat="1" applyFont="1" applyFill="1" applyBorder="1" applyAlignment="1">
      <x:alignment vertical="top" wrapText="1"/>
    </x:xf>
    <x:xf numFmtId="168" fontId="4" fillId="3" borderId="0" xfId="0" applyNumberFormat="1" applyFont="1" applyFill="1" applyBorder="1" applyAlignment="1">
      <x:alignment vertical="top" wrapText="1"/>
    </x:xf>
    <x:xf numFmtId="164" fontId="2"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3" fillId="3" borderId="1" xfId="0" applyNumberFormat="1" applyFont="1" applyFill="1" applyBorder="1" applyAlignment="1">
      <x:alignment vertical="top" wrapText="1"/>
    </x:xf>
    <x:xf numFmtId="168" fontId="3" fillId="3" borderId="2" xfId="0" applyNumberFormat="1" applyFont="1" applyFill="1" applyBorder="1" applyAlignment="1">
      <x:alignment vertical="top" wrapText="1"/>
    </x:xf>
    <x:xf numFmtId="164" fontId="3"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200" fontId="4" fillId="3" borderId="0" xfId="0" applyNumberFormat="1" applyFont="1" applyFill="1" applyBorder="1" applyAlignment="1">
      <x:alignment vertical="top" wrapText="1"/>
    </x:xf>
    <x:xf numFmtId="166" fontId="4" fillId="3" borderId="0" xfId="0" applyNumberFormat="1" applyFont="1" applyFill="1" applyBorder="1" applyAlignment="1">
      <x:alignment vertical="top" wrapText="1"/>
    </x:xf>
    <x:xf numFmtId="0" fontId="4" fillId="3" borderId="6" xfId="0" applyNumberFormat="1" applyFont="1" applyFill="1" applyBorder="1" applyAlignment="1">
      <x:alignment vertical="top" wrapText="1"/>
    </x:xf>
    <x:xf numFmtId="168" fontId="4" fillId="3" borderId="7" xfId="0" applyNumberFormat="1" applyFont="1" applyFill="1" applyBorder="1" applyAlignment="1">
      <x:alignment vertical="top" wrapText="1"/>
    </x:xf>
    <x:xf numFmtId="164" fontId="4" fillId="3" borderId="7"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164" fontId="1" fillId="3" borderId="0" xfId="0" applyNumberFormat="1" applyFont="1" applyFill="1" applyBorder="1" applyAlignment="1">
      <x:alignment vertical="top" wrapText="1"/>
    </x:xf>
    <x:xf numFmtId="164" fontId="1" fillId="3" borderId="7" xfId="0" applyNumberFormat="1" applyFont="1" applyFill="1" applyBorder="1" applyAlignment="1">
      <x:alignment vertical="top" wrapText="1"/>
    </x:xf>
    <x:xf numFmtId="168" fontId="4" fillId="3" borderId="4" xfId="0" applyNumberFormat="1" applyFont="1" applyFill="1" applyBorder="1" applyAlignment="1">
      <x:alignment vertical="top" wrapText="1"/>
    </x:xf>
    <x:xf numFmtId="164" fontId="4" fillId="3" borderId="0" xfId="0" applyNumberFormat="1" applyFont="1" applyFill="1" applyBorder="1" applyAlignment="1">
      <x:alignment vertical="top" wrapText="1"/>
    </x:xf>
    <x:xf numFmtId="168" fontId="4" fillId="3" borderId="6" xfId="0" applyNumberFormat="1" applyFont="1" applyFill="1" applyBorder="1" applyAlignment="1">
      <x:alignment vertical="top" wrapText="1"/>
    </x:xf>
    <x:xf numFmtId="0" fontId="3" fillId="2" borderId="12" xfId="0" applyNumberFormat="1" applyFont="1" applyFill="1" applyBorder="1" applyAlignment="1">
      <x:alignment horizontal="center" vertical="top" wrapText="1"/>
    </x:xf>
    <x:xf numFmtId="0" fontId="3" fillId="2" borderId="13" xfId="0" applyNumberFormat="1" applyFont="1" applyFill="1" applyBorder="1" applyAlignment="1">
      <x:alignment horizontal="center" vertical="top" wrapText="1"/>
    </x:xf>
    <x:xf numFmtId="0" fontId="3" fillId="2" borderId="14" xfId="0" applyNumberFormat="1" applyFont="1" applyFill="1" applyBorder="1" applyAlignment="1">
      <x:alignment horizontal="center" vertical="top" wrapText="1"/>
    </x:xf>
    <x:xf numFmtId="0" fontId="3"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164" fontId="2"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164" fontId="4" fillId="0" borderId="16" xfId="0" applyNumberFormat="1" applyFont="1" applyFill="1" applyBorder="1" applyAlignment="1">
      <x:alignment vertical="top" wrapText="1"/>
    </x:xf>
    <x:xf numFmtId="165" fontId="4" fillId="0" borderId="16" xfId="0" applyNumberFormat="1" applyFont="1" applyFill="1" applyBorder="1" applyAlignment="1">
      <x:alignment vertical="top" wrapText="1"/>
    </x:xf>
    <x:xf numFmtId="166" fontId="4" fillId="0" borderId="16" xfId="0" applyNumberFormat="1" applyFont="1" applyFill="1" applyBorder="1" applyAlignment="1">
      <x:alignment vertical="top" wrapText="1"/>
    </x:xf>
    <x:xf numFmtId="0" fontId="3"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164" fontId="2" fillId="0" borderId="19"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3" fillId="0" borderId="21"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166"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3" fillId="4" borderId="12" xfId="0" applyNumberFormat="1" applyFont="1" applyFill="1" applyBorder="1" applyAlignment="1">
      <x:alignment horizontal="center" vertical="top" wrapText="1"/>
    </x:xf>
    <x:xf numFmtId="0" fontId="3" fillId="4" borderId="13" xfId="0" applyNumberFormat="1" applyFont="1" applyFill="1" applyBorder="1" applyAlignment="1">
      <x:alignment horizontal="center" vertical="top" wrapText="1"/>
    </x:xf>
    <x:xf numFmtId="0" fontId="3" fillId="4" borderId="14" xfId="0" applyNumberFormat="1" applyFont="1" applyFill="1" applyBorder="1" applyAlignment="1">
      <x:alignment horizontal="center" vertical="top" wrapText="1"/>
    </x:xf>
    <x:xf numFmtId="0" fontId="4" fillId="0" borderId="15" xfId="0" applyNumberFormat="1" applyFont="1" applyFill="1" applyBorder="1" applyAlignment="1">
      <x:alignment vertical="top" wrapText="1"/>
    </x:xf>
    <x:xf numFmtId="164" fontId="1" fillId="0" borderId="16" xfId="0" applyNumberFormat="1" applyFont="1" applyFill="1" applyBorder="1" applyAlignment="1">
      <x:alignment horizontal="right" vertical="top" wrapText="1"/>
    </x:xf>
    <x:xf numFmtId="0" fontId="4" fillId="0" borderId="21" xfId="0" applyNumberFormat="1" applyFont="1" applyFill="1" applyBorder="1" applyAlignment="1">
      <x:alignment vertical="top" wrapText="1"/>
    </x:xf>
    <x:xf numFmtId="164" fontId="1" fillId="0" borderId="22" xfId="0" applyNumberFormat="1" applyFont="1" applyFill="1" applyBorder="1" applyAlignment="1">
      <x:alignment horizontal="right" vertical="top" wrapText="1"/>
    </x:xf>
    <x:xf numFmtId="0" fontId="4" fillId="3" borderId="15" xfId="0" applyNumberFormat="1" applyFont="1" applyFill="1" applyBorder="1" applyAlignment="1">
      <x:alignment vertical="top" wrapText="1"/>
    </x:xf>
    <x:xf numFmtId="168" fontId="4" fillId="3" borderId="16" xfId="0" applyNumberFormat="1" applyFont="1" applyFill="1" applyBorder="1" applyAlignment="1">
      <x:alignment vertical="top" wrapText="1"/>
    </x:xf>
    <x:xf numFmtId="164" fontId="2" fillId="3" borderId="16" xfId="0" applyNumberFormat="1" applyFont="1" applyFill="1" applyBorder="1" applyAlignment="1">
      <x:alignment vertical="top" wrapText="1"/>
    </x:xf>
    <x:xf numFmtId="0" fontId="4" fillId="3" borderId="16" xfId="0" applyNumberFormat="1" applyFont="1" applyFill="1" applyBorder="1" applyAlignment="1">
      <x:alignment vertical="top" wrapText="1"/>
    </x:xf>
    <x:xf numFmtId="0" fontId="4" fillId="3" borderId="17" xfId="0" applyNumberFormat="1" applyFont="1" applyFill="1" applyBorder="1" applyAlignment="1">
      <x:alignment vertical="top" wrapText="1"/>
    </x:xf>
    <x:xf numFmtId="0" fontId="3" fillId="3" borderId="18" xfId="0" applyNumberFormat="1" applyFont="1" applyFill="1" applyBorder="1" applyAlignment="1">
      <x:alignment vertical="top" wrapText="1"/>
    </x:xf>
    <x:xf numFmtId="168" fontId="3" fillId="3" borderId="19" xfId="0" applyNumberFormat="1" applyFont="1" applyFill="1" applyBorder="1" applyAlignment="1">
      <x:alignment vertical="top" wrapText="1"/>
    </x:xf>
    <x:xf numFmtId="164" fontId="3" fillId="3" borderId="19" xfId="0" applyNumberFormat="1" applyFont="1" applyFill="1" applyBorder="1" applyAlignment="1">
      <x:alignment vertical="top" wrapText="1"/>
    </x:xf>
    <x:xf numFmtId="0" fontId="3" fillId="3" borderId="19" xfId="0" applyNumberFormat="1" applyFont="1" applyFill="1" applyBorder="1" applyAlignment="1">
      <x:alignment vertical="top" wrapText="1"/>
    </x:xf>
    <x:xf numFmtId="0" fontId="3" fillId="3" borderId="20" xfId="0" applyNumberFormat="1" applyFont="1" applyFill="1" applyBorder="1" applyAlignment="1">
      <x:alignment vertical="top" wrapText="1"/>
    </x:xf>
    <x:xf numFmtId="200" fontId="4" fillId="3" borderId="16" xfId="0" applyNumberFormat="1" applyFont="1" applyFill="1" applyBorder="1" applyAlignment="1">
      <x:alignment vertical="top" wrapText="1"/>
    </x:xf>
    <x:xf numFmtId="166" fontId="4" fillId="3" borderId="16" xfId="0" applyNumberFormat="1" applyFont="1" applyFill="1" applyBorder="1" applyAlignment="1">
      <x:alignment vertical="top" wrapText="1"/>
    </x:xf>
    <x:xf numFmtId="0" fontId="4" fillId="3" borderId="21" xfId="0" applyNumberFormat="1" applyFont="1" applyFill="1" applyBorder="1" applyAlignment="1">
      <x:alignment vertical="top" wrapText="1"/>
    </x:xf>
    <x:xf numFmtId="168" fontId="4" fillId="3" borderId="22" xfId="0" applyNumberFormat="1" applyFont="1" applyFill="1" applyBorder="1" applyAlignment="1">
      <x:alignment vertical="top" wrapText="1"/>
    </x:xf>
    <x:xf numFmtId="164" fontId="4" fillId="3" borderId="22" xfId="0" applyNumberFormat="1" applyFont="1" applyFill="1" applyBorder="1" applyAlignment="1">
      <x:alignment vertical="top" wrapText="1"/>
    </x:xf>
    <x:xf numFmtId="0" fontId="4" fillId="3" borderId="22" xfId="0" applyNumberFormat="1" applyFont="1" applyFill="1" applyBorder="1" applyAlignment="1">
      <x:alignment vertical="top" wrapText="1"/>
    </x:xf>
    <x:xf numFmtId="0" fontId="4" fillId="3" borderId="23" xfId="0" applyNumberFormat="1" applyFont="1" applyFill="1" applyBorder="1" applyAlignment="1">
      <x:alignment vertical="top" wrapText="1"/>
    </x:xf>
    <x:xf numFmtId="164" fontId="1" fillId="3" borderId="16" xfId="0" applyNumberFormat="1" applyFont="1" applyFill="1" applyBorder="1" applyAlignment="1">
      <x:alignment vertical="top" wrapText="1"/>
    </x:xf>
    <x:xf numFmtId="164" fontId="1" fillId="3" borderId="22" xfId="0" applyNumberFormat="1" applyFont="1" applyFill="1" applyBorder="1" applyAlignment="1">
      <x:alignment vertical="top" wrapText="1"/>
    </x:xf>
    <x:xf numFmtId="168" fontId="4" fillId="3" borderId="15" xfId="0" applyNumberFormat="1" applyFont="1" applyFill="1" applyBorder="1" applyAlignment="1">
      <x:alignment vertical="top" wrapText="1"/>
    </x:xf>
    <x:xf numFmtId="164" fontId="4" fillId="3" borderId="16" xfId="0" applyNumberFormat="1" applyFont="1" applyFill="1" applyBorder="1" applyAlignment="1">
      <x:alignment vertical="top" wrapText="1"/>
    </x:xf>
    <x:xf numFmtId="168" fontId="4" fillId="3" borderId="21"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168" fontId="4" fillId="5" borderId="16" xfId="0" applyNumberFormat="1" applyFont="1" applyFill="1" applyBorder="1" applyAlignment="1">
      <x:alignment vertical="top" wrapText="1"/>
    </x:xf>
    <x:xf numFmtId="164" fontId="2" fillId="5" borderId="16"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168" fontId="3" fillId="5" borderId="19" xfId="0" applyNumberFormat="1" applyFont="1" applyFill="1" applyBorder="1" applyAlignment="1">
      <x:alignment vertical="top" wrapText="1"/>
    </x:xf>
    <x:xf numFmtId="164" fontId="3" fillId="5" borderId="19" xfId="0" applyNumberFormat="1" applyFont="1" applyFill="1" applyBorder="1" applyAlignment="1">
      <x:alignment vertical="top" wrapText="1"/>
    </x:xf>
    <x:xf numFmtId="0" fontId="3" fillId="5" borderId="19" xfId="0" applyNumberFormat="1" applyFont="1" applyFill="1" applyBorder="1" applyAlignment="1">
      <x:alignment vertical="top" wrapText="1"/>
    </x:xf>
    <x:xf numFmtId="0" fontId="3" fillId="5" borderId="20"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166" fontId="4" fillId="5" borderId="16"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168" fontId="4" fillId="5" borderId="22" xfId="0" applyNumberFormat="1" applyFont="1" applyFill="1" applyBorder="1" applyAlignment="1">
      <x:alignment vertical="top" wrapText="1"/>
    </x:xf>
    <x:xf numFmtId="164" fontId="4" fillId="5" borderId="22" xfId="0" applyNumberFormat="1" applyFont="1" applyFill="1" applyBorder="1" applyAlignment="1">
      <x:alignment vertical="top" wrapText="1"/>
    </x:xf>
    <x:xf numFmtId="0" fontId="4" fillId="5" borderId="22" xfId="0" applyNumberFormat="1" applyFont="1" applyFill="1" applyBorder="1" applyAlignment="1">
      <x:alignment vertical="top" wrapText="1"/>
    </x:xf>
    <x:xf numFmtId="0" fontId="4" fillId="5" borderId="23" xfId="0" applyNumberFormat="1" applyFont="1" applyFill="1" applyBorder="1" applyAlignment="1">
      <x:alignment vertical="top" wrapText="1"/>
    </x:xf>
    <x:xf numFmtId="164" fontId="1" fillId="5" borderId="16" xfId="0" applyNumberFormat="1" applyFont="1" applyFill="1" applyBorder="1" applyAlignment="1">
      <x:alignment vertical="top" wrapText="1"/>
    </x:xf>
    <x:xf numFmtId="164" fontId="1" fillId="5" borderId="22" xfId="0" applyNumberFormat="1" applyFont="1" applyFill="1" applyBorder="1" applyAlignment="1">
      <x:alignment vertical="top" wrapText="1"/>
    </x:xf>
    <x:xf numFmtId="168" fontId="4" fillId="5" borderId="15" xfId="0" applyNumberFormat="1" applyFont="1" applyFill="1" applyBorder="1" applyAlignment="1">
      <x:alignment vertical="top" wrapText="1"/>
    </x:xf>
    <x:xf numFmtId="164" fontId="4" fillId="5" borderId="16" xfId="0" applyNumberFormat="1" applyFont="1" applyFill="1" applyBorder="1" applyAlignment="1">
      <x:alignment vertical="top" wrapText="1"/>
    </x:xf>
    <x:xf numFmtId="168" fontId="4" fillId="5" borderId="2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9da112e17304bd8" /><Relationship Type="http://schemas.openxmlformats.org/officeDocument/2006/relationships/theme" Target="/xl/theme/theme1.xml" Id="Rc78a38f3a4954fdb" /><Relationship Type="http://schemas.openxmlformats.org/officeDocument/2006/relationships/sharedStrings" Target="/xl/sharedStrings.xml" Id="Ra015a3e4884a47e7" /><Relationship Type="http://schemas.openxmlformats.org/officeDocument/2006/relationships/worksheet" Target="/xl/worksheets/sheet1.xml" Id="R3a49a3edc69f44b5" /><Relationship Type="http://schemas.openxmlformats.org/officeDocument/2006/relationships/worksheet" Target="/xl/worksheets/sheet2.xml" Id="Re7ff923a87da4f23" /><Relationship Type="http://schemas.openxmlformats.org/officeDocument/2006/relationships/worksheet" Target="/xl/worksheets/sheet3.xml" Id="R54f6dfc4bb77426d" /><Relationship Type="http://schemas.openxmlformats.org/officeDocument/2006/relationships/worksheet" Target="/xl/worksheets/sheet4.xml" Id="Rbda045450c6745d0" /><Relationship Type="http://schemas.openxmlformats.org/officeDocument/2006/relationships/worksheet" Target="/xl/worksheets/sheet5.xml" Id="R560f0e3c23854ab5" /><Relationship Type="http://schemas.openxmlformats.org/officeDocument/2006/relationships/worksheet" Target="/xl/worksheets/sheet6.xml" Id="Rd6938bbe8d414126" /><Relationship Type="http://schemas.openxmlformats.org/officeDocument/2006/relationships/worksheet" Target="/xl/worksheets/sheet7.xml" Id="R61598e31081c41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7ab6be4971104ca7"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Principal due by fiscal year at May 31, 2026</a:t>
            </a:r>
          </a:p>
        </c:rich>
      </c:tx>
    </c:title>
    <c:plotArea>
      <c:barChart>
        <c:barDir val="bar"/>
        <c:grouping val="clustered"/>
        <c:varyColors val="0"/>
        <c:ser>
          <c:idx val="0"/>
          <c:order val="0"/>
          <c:spPr>
            <a:solidFill xmlns:a="http://schemas.openxmlformats.org/drawingml/2006/main">
              <a:srgbClr val="737985"/>
            </a:solidFill>
            <a:ln xmlns:a="http://schemas.openxmlformats.org/drawingml/2006/main">
              <a:solidFill>
                <a:srgbClr val="737985"/>
              </a:solidFill>
              <a:prstDash val="solid"/>
            </a:ln>
          </c:spPr>
          <c:cat>
            <c:strRef>
              <c:f>'Oracle maturities'!$A$2:$A$6</c:f>
              <c:strCache>
                <c:ptCount val="0"/>
              </c:strCache>
            </c:strRef>
          </c:cat>
          <c:val>
            <c:numRef>
              <c:f>'Oracle maturities'!$D$2:$D$6</c:f>
              <c:numCache>
                <c:formatCode>0.0,,,</c:formatCode>
                <c:ptCount val="0"/>
              </c:numCache>
            </c:numRef>
          </c:val>
        </c:ser>
        <c:gapWidth val="150"/>
        <c:axId val="10"/>
        <c:axId val="100"/>
      </c:barChart>
      <c:catAx>
        <c:axId val="10"/>
        <c:scaling>
          <c:orientation val="maxMin"/>
        </c:scaling>
        <c:delete val="0"/>
        <c:axPos val="l"/>
        <c:numFmt formatCode="General"/>
        <c:majorTickMark val="none"/>
        <c:minorTickMark val="none"/>
        <c:crossAx val="100"/>
        <c:lblOffset val="100"/>
      </c:catAx>
      <c:valAx>
        <c:axId val="100"/>
        <c:scaling>
          <c:orientation val="minMax"/>
          <c:min val="0"/>
        </c:scaling>
        <c:delete val="0"/>
        <c:axPos val="b"/>
        <c:title>
          <c:tx>
            <c:rich>
              <a:bodyPr xmlns:a="http://schemas.openxmlformats.org/drawingml/2006/main"/>
              <a:lstStyle xmlns:a="http://schemas.openxmlformats.org/drawingml/2006/main"/>
              <a:p xmlns:a="http://schemas.openxmlformats.org/drawingml/2006/main">
                <a:pPr>
                  <a:buNone/>
                </a:pPr>
                <a:r>
                  <a:t>USD billions</a:t>
                </a:r>
              </a:p>
            </c:rich>
          </c:tx>
        </c:title>
        <c:numFmt formatCode="0.0,,," sourceLinked="0"/>
        <c:majorTickMark val="none"/>
        <c:minorTickMark val="none"/>
        <c:crossAx val="10"/>
        <c:crossBetween val="between"/>
      </c:valAx>
    </c:plotArea>
    <c:plotVisOnly val="1"/>
    <c:dispBlanksAs val="gap"/>
  </c:chart>
</c:chartSpace>
</file>

<file path=xl/drawings/drawing1.xml><?xml version="1.0" encoding="utf-8"?>
<xdr:wsDr xmlns:xdr="http://schemas.openxmlformats.org/drawingml/2006/spreadsheetDrawing">
  <xdr:oneCellAnchor>
    <xdr:from>
      <xdr:col>7</xdr:col>
      <xdr:colOff>0</xdr:colOff>
      <xdr:row>1</xdr:row>
      <xdr:rowOff>0</xdr:rowOff>
    </xdr:from>
    <xdr:ext cx="6840000" cy="324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b6be4971104ca7"/>
        </a:graphicData>
      </a:graphic>
    </xdr:graphicFrame>
    <xdr:clientData/>
  </xdr:oneCellAnchor>
</xdr:wsDr>
</file>

<file path=xl/tables/table1.xml><?xml version="1.0" encoding="utf-8"?>
<x:table xmlns:x="http://schemas.openxmlformats.org/spreadsheetml/2006/main" id="1" name="OracleMaturities" displayName="OracleMaturities" ref="A1:F18" headerRowCount="1" totalsRowCount="0" totalsRowShown="0">
  <x:autoFilter ref="A1:F18"/>
  <x:tableColumns count="6">
    <x:tableColumn id="1" name="Principal schedule"/>
    <x:tableColumn id="2" name="Due from"/>
    <x:tableColumn id="3" name="Due through"/>
    <x:tableColumn id="4" name="USD (displayed in millions)"/>
    <x:tableColumn id="5" name="Reporting basis"/>
    <x:tableColumn id="6" name="Notes"/>
  </x:tableColumns>
  <x:tableStyleInfo name="TableStyleLight1" showFirstColumn="0" showLastColumn="0" showRowStripes="1" showColumnStripes="0"/>
</x:table>
</file>

<file path=xl/tables/table2.xml><?xml version="1.0" encoding="utf-8"?>
<x:table xmlns:x="http://schemas.openxmlformats.org/spreadsheetml/2006/main" id="2" name="OracleDebtInputs" displayName="OracleDebtInputs" ref="A1:O12" headerRowCount="1" totalsRowCount="0" totalsRowShown="0">
  <x:autoFilter ref="A1:O12"/>
  <x:tableColumns count="15">
    <x:tableColumn id="1" name="Input"/>
    <x:tableColumn id="2" name="USD (displayed in millions)"/>
    <x:tableColumn id="3" name="Reporting date"/>
    <x:tableColumn id="4" name="Due from"/>
    <x:tableColumn id="5" name="Due through"/>
    <x:tableColumn id="6" name="Form"/>
    <x:tableColumn id="7" name="Filed"/>
    <x:tableColumn id="8" name="Accession"/>
    <x:tableColumn id="9" name="Tag"/>
    <x:tableColumn id="10" name="Context ID"/>
    <x:tableColumn id="11" name="Scale"/>
    <x:tableColumn id="12" name="Decimals"/>
    <x:tableColumn id="13" name="Source"/>
    <x:tableColumn id="14" name="Filing location"/>
    <x:tableColumn id="15" name="Notes"/>
  </x:tableColumns>
  <x:tableStyleInfo name="TableStyleLight1" showFirstColumn="0" showLastColumn="0" showRowStripes="1" showColumnStripes="0"/>
</x:table>
</file>

<file path=xl/tables/table3.xml><?xml version="1.0" encoding="utf-8"?>
<x:table xmlns:x="http://schemas.openxmlformats.org/spreadsheetml/2006/main" id="3" name="OracleFinancing" displayName="OracleFinancing" ref="A1:N7" headerRowCount="1" totalsRowCount="0" totalsRowShown="0">
  <x:autoFilter ref="A1:N7"/>
  <x:tableColumns count="14">
    <x:tableColumn id="1" name="Event date"/>
    <x:tableColumn id="2" name="Period start"/>
    <x:tableColumn id="3" name="Period end"/>
    <x:tableColumn id="4" name="Finding"/>
    <x:tableColumn id="5" name="USD (displayed in millions)"/>
    <x:tableColumn id="6" name="Amount basis"/>
    <x:tableColumn id="7" name="Form"/>
    <x:tableColumn id="8" name="Filed"/>
    <x:tableColumn id="9" name="Accession"/>
    <x:tableColumn id="10" name="Tag"/>
    <x:tableColumn id="11" name="Context ID"/>
    <x:tableColumn id="12" name="Source"/>
    <x:tableColumn id="13" name="Exhibit"/>
    <x:tableColumn id="14" name="Notes"/>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f8135e9b13bb4b3e" /><Relationship Type="http://schemas.openxmlformats.org/officeDocument/2006/relationships/table" Target="/xl/tables/table1.xml" Id="R20ea003edfe3420d" /></Relationships>
</file>

<file path=xl/worksheets/_rels/sheet6.xml.rels>&#65279;<?xml version="1.0" encoding="utf-8"?><Relationships xmlns="http://schemas.openxmlformats.org/package/2006/relationships"><Relationship Type="http://schemas.openxmlformats.org/officeDocument/2006/relationships/table" Target="/xl/tables/table2.xml" Id="Rff8e38be7c824774" /></Relationships>
</file>

<file path=xl/worksheets/_rels/sheet7.xml.rels>&#65279;<?xml version="1.0" encoding="utf-8"?><Relationships xmlns="http://schemas.openxmlformats.org/package/2006/relationships"><Relationship Type="http://schemas.openxmlformats.org/officeDocument/2006/relationships/table" Target="/xl/tables/table3.xml" Id="R13b65a70f5e74ab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9" hidden="0" customWidth="1"/>
    <x:col min="2" max="2" width="38" hidden="0" customWidth="1"/>
    <x:col min="3" max="3" width="21" hidden="0" customWidth="1"/>
    <x:col min="4" max="4" width="26" hidden="0" customWidth="1"/>
    <x:col min="5" max="5" width="20" hidden="0" customWidth="1"/>
    <x:col min="6" max="6" width="62" hidden="0" customWidth="1"/>
    <x:col min="7" max="7" width="17" hidden="0" customWidth="1"/>
    <x:col min="8" max="8" width="85" hidden="0" customWidth="1"/>
  </x:cols>
  <x:sheetData>
    <x:row r="1" ht="32" customHeight="1">
      <x:c r="A1" s="97" t="inlineStr">
        <x:is>
          <x:t xml:space="preserve">Ticker</x:t>
        </x:is>
      </x:c>
      <x:c r="B1" s="98" t="inlineStr">
        <x:is>
          <x:t xml:space="preserve">Metric</x:t>
        </x:is>
      </x:c>
      <x:c r="C1" s="98" t="inlineStr">
        <x:is>
          <x:t xml:space="preserve">Value</x:t>
        </x:is>
      </x:c>
      <x:c r="D1" s="98" t="inlineStr">
        <x:is>
          <x:t xml:space="preserve">Unit</x:t>
        </x:is>
      </x:c>
      <x:c r="E1" s="98" t="inlineStr">
        <x:is>
          <x:t xml:space="preserve">Period end</x:t>
        </x:is>
      </x:c>
      <x:c r="F1" s="98" t="inlineStr">
        <x:is>
          <x:t xml:space="preserve">Formula</x:t>
        </x:is>
      </x:c>
      <x:c r="G1" s="98" t="inlineStr">
        <x:is>
          <x:t xml:space="preserve">Status</x:t>
        </x:is>
      </x:c>
      <x:c r="H1" s="99" t="inlineStr">
        <x:is>
          <x:t xml:space="preserve">Notes</x:t>
        </x:is>
      </x:c>
    </x:row>
    <x:row r="2" ht="26" customHeight="1">
      <x:c r="A2" s="82" t="inlineStr">
        <x:is>
          <x:t xml:space="preserve">LLY</x:t>
        </x:is>
      </x:c>
      <x:c r="B2" s="83" t="inlineStr">
        <x:is>
          <x:t xml:space="preserve">Cash and cash equivalents</x:t>
        </x:is>
      </x:c>
      <x:c r="C2" s="84" t="n">
        <x:f>'Liquidity inputs'!D2</x:f>
        <x:v>8950000000</x:v>
      </x:c>
      <x:c r="D2" s="83" t="inlineStr">
        <x:is>
          <x:t xml:space="preserve">USD (displayed in millions)</x:t>
        </x:is>
      </x:c>
      <x:c r="E2" s="83" t="inlineStr">
        <x:is>
          <x:t xml:space="preserve">2026-06-30</x:t>
        </x:is>
      </x:c>
      <x:c r="F2" s="83" t="inlineStr">
        <x:is>
          <x:t xml:space="preserve">us-gaap:CashAndCashEquivalentsAtCarryingValue</x:t>
        </x:is>
      </x:c>
      <x:c r="G2" s="83" t="inlineStr">
        <x:is>
          <x:t xml:space="preserve">Reported</x:t>
        </x:is>
      </x:c>
      <x:c r="H2" s="85" t="inlineStr">
        <x:is>
          <x:t xml:space="preserve"/>
        </x:is>
      </x:c>
    </x:row>
    <x:row r="3" ht="64" customHeight="1">
      <x:c r="A3" s="82" t="inlineStr">
        <x:is>
          <x:t xml:space="preserve">LLY</x:t>
        </x:is>
      </x:c>
      <x:c r="B3" s="83" t="inlineStr">
        <x:is>
          <x:t xml:space="preserve">Baseline gross debt</x:t>
        </x:is>
      </x:c>
      <x:c r="C3" s="86" t="n">
        <x:f>'Liquidity inputs'!D3+'Liquidity inputs'!D4</x:f>
        <x:v>54908000000</x:v>
      </x:c>
      <x:c r="D3" s="83" t="inlineStr">
        <x:is>
          <x:t xml:space="preserve">USD (displayed in millions)</x:t>
        </x:is>
      </x:c>
      <x:c r="E3" s="83" t="inlineStr">
        <x:is>
          <x:t xml:space="preserve">2026-06-30</x:t>
        </x:is>
      </x:c>
      <x:c r="F3" s="83" t="inlineStr">
        <x:is>
          <x:t xml:space="preserve">DebtCurrent + LongTermDebtNoncurrent</x:t>
        </x:is>
      </x:c>
      <x:c r="G3" s="83" t="inlineStr">
        <x:is>
          <x:t xml:space="preserve">Calculated</x:t>
        </x:is>
      </x:c>
      <x:c r="H3" s="85" t="inlineStr">
        <x:is>
          <x:t xml:space="preserve">In this 10-Q, the Note 8 fair-value table's carrying amounts (commercial paper 5,284M plus long-term debt including current portion 49,624M) present the same 54,908M; they are not added.; Excluded: fair-value-table carrying amounts of the same borrowings (commercial paper, long-term debt)</x:t>
        </x:is>
      </x:c>
    </x:row>
    <x:row r="4" ht="26" customHeight="1">
      <x:c r="A4" s="82" t="inlineStr">
        <x:is>
          <x:t xml:space="preserve">LLY</x:t>
        </x:is>
      </x:c>
      <x:c r="B4" s="83" t="inlineStr">
        <x:is>
          <x:t xml:space="preserve">Net debt</x:t>
        </x:is>
      </x:c>
      <x:c r="C4" s="86" t="n">
        <x:f>C3-C2</x:f>
        <x:v>45958000000</x:v>
      </x:c>
      <x:c r="D4" s="83" t="inlineStr">
        <x:is>
          <x:t xml:space="preserve">USD (displayed in millions)</x:t>
        </x:is>
      </x:c>
      <x:c r="E4" s="83" t="inlineStr">
        <x:is>
          <x:t xml:space="preserve">2026-06-30</x:t>
        </x:is>
      </x:c>
      <x:c r="F4" s="83" t="inlineStr">
        <x:is>
          <x:t xml:space="preserve">Baseline gross debt - cash and cash equivalents</x:t>
        </x:is>
      </x:c>
      <x:c r="G4" s="83" t="inlineStr">
        <x:is>
          <x:t xml:space="preserve">Calculated</x:t>
        </x:is>
      </x:c>
      <x:c r="H4" s="85" t="inlineStr">
        <x:is>
          <x:t xml:space="preserve"/>
        </x:is>
      </x:c>
    </x:row>
    <x:row r="5" ht="26" customHeight="1">
      <x:c r="A5" s="82" t="inlineStr">
        <x:is>
          <x:t xml:space="preserve">LLY</x:t>
        </x:is>
      </x:c>
      <x:c r="B5" s="83" t="inlineStr">
        <x:is>
          <x:t xml:space="preserve">Current ratio</x:t>
        </x:is>
      </x:c>
      <x:c r="C5" s="87" t="n">
        <x:f>'Liquidity inputs'!D5/'Liquidity inputs'!D6</x:f>
        <x:v>1.3546427598919168</x:v>
      </x:c>
      <x:c r="D5" s="83" t="inlineStr">
        <x:is>
          <x:t xml:space="preserve">ratio</x:t>
        </x:is>
      </x:c>
      <x:c r="E5" s="83" t="inlineStr">
        <x:is>
          <x:t xml:space="preserve">2026-06-30</x:t>
        </x:is>
      </x:c>
      <x:c r="F5" s="83" t="inlineStr">
        <x:is>
          <x:t xml:space="preserve">AssetsCurrent / LiabilitiesCurrent</x:t>
        </x:is>
      </x:c>
      <x:c r="G5" s="83" t="inlineStr">
        <x:is>
          <x:t xml:space="preserve">Calculated</x:t>
        </x:is>
      </x:c>
      <x:c r="H5" s="85" t="inlineStr">
        <x:is>
          <x:t xml:space="preserve"/>
        </x:is>
      </x:c>
    </x:row>
    <x:row r="6" ht="26" customHeight="1">
      <x:c r="A6" s="82" t="inlineStr">
        <x:is>
          <x:t xml:space="preserve">LLY</x:t>
        </x:is>
      </x:c>
      <x:c r="B6" s="83" t="inlineStr">
        <x:is>
          <x:t xml:space="preserve">Operating cash flow</x:t>
        </x:is>
      </x:c>
      <x:c r="C6" s="86" t="n">
        <x:f>'Liquidity inputs'!D7+'Liquidity inputs'!D8-'Liquidity inputs'!D9</x:f>
        <x:v>28083000000</x:v>
      </x:c>
      <x:c r="D6" s="83" t="inlineStr">
        <x:is>
          <x:t xml:space="preserve">USD (displayed in millions)</x:t>
        </x:is>
      </x:c>
      <x:c r="E6" s="83" t="inlineStr">
        <x:is>
          <x:t xml:space="preserve">2026-06-30</x:t>
        </x:is>
      </x:c>
      <x:c r="F6" s="83" t="inlineStr">
        <x:is>
          <x:t xml:space="preserve">Fiscal year + current YTD - prior YTD</x:t>
        </x:is>
      </x:c>
      <x:c r="G6" s="83" t="inlineStr">
        <x:is>
          <x:t xml:space="preserve">Calculated</x:t>
        </x:is>
      </x:c>
      <x:c r="H6" s="85" t="inlineStr">
        <x:is>
          <x:t xml:space="preserve"/>
        </x:is>
      </x:c>
    </x:row>
    <x:row r="7" ht="26" customHeight="1">
      <x:c r="A7" s="82" t="inlineStr">
        <x:is>
          <x:t xml:space="preserve">LLY</x:t>
        </x:is>
      </x:c>
      <x:c r="B7" s="83" t="inlineStr">
        <x:is>
          <x:t xml:space="preserve">Purchases of property and equipment</x:t>
        </x:is>
      </x:c>
      <x:c r="C7" s="86" t="n">
        <x:f>'Liquidity inputs'!D10+'Liquidity inputs'!D11-'Liquidity inputs'!D12</x:f>
        <x:v>9893000000</x:v>
      </x:c>
      <x:c r="D7" s="83" t="inlineStr">
        <x:is>
          <x:t xml:space="preserve">USD (displayed in millions)</x:t>
        </x:is>
      </x:c>
      <x:c r="E7" s="83" t="inlineStr">
        <x:is>
          <x:t xml:space="preserve">2026-06-30</x:t>
        </x:is>
      </x:c>
      <x:c r="F7" s="83" t="inlineStr">
        <x:is>
          <x:t xml:space="preserve">Fiscal year + current YTD - prior YTD</x:t>
        </x:is>
      </x:c>
      <x:c r="G7" s="83" t="inlineStr">
        <x:is>
          <x:t xml:space="preserve">Calculated</x:t>
        </x:is>
      </x:c>
      <x:c r="H7" s="85" t="inlineStr">
        <x:is>
          <x:t xml:space="preserve"/>
        </x:is>
      </x:c>
    </x:row>
    <x:row r="8" ht="36" customHeight="1">
      <x:c r="A8" s="82" t="inlineStr">
        <x:is>
          <x:t xml:space="preserve">LLY</x:t>
        </x:is>
      </x:c>
      <x:c r="B8" s="83" t="inlineStr">
        <x:is>
          <x:t xml:space="preserve">Free cash flow</x:t>
        </x:is>
      </x:c>
      <x:c r="C8" s="86" t="n">
        <x:f>C6-C7</x:f>
        <x:v>18190000000</x:v>
      </x:c>
      <x:c r="D8" s="83" t="inlineStr">
        <x:is>
          <x:t xml:space="preserve">USD (displayed in millions)</x:t>
        </x:is>
      </x:c>
      <x:c r="E8" s="83" t="inlineStr">
        <x:is>
          <x:t xml:space="preserve">2026-06-30</x:t>
        </x:is>
      </x:c>
      <x:c r="F8" s="83" t="inlineStr">
        <x:is>
          <x:t xml:space="preserve">Operating cash flow - reported capital spending</x:t>
        </x:is>
      </x:c>
      <x:c r="G8" s="83" t="inlineStr">
        <x:is>
          <x:t xml:space="preserve">Calculated</x:t>
        </x:is>
      </x:c>
      <x:c r="H8" s="85" t="inlineStr">
        <x:is>
          <x:t xml:space="preserve">Reported purchases of property and equipment; excludes acquisitions and other investing cash flows.</x:t>
        </x:is>
      </x:c>
    </x:row>
    <x:row r="9" ht="26" customHeight="1">
      <x:c r="A9" s="82" t="inlineStr">
        <x:is>
          <x:t xml:space="preserve">LLY</x:t>
        </x:is>
      </x:c>
      <x:c r="B9" s="83" t="inlineStr">
        <x:is>
          <x:t xml:space="preserve">Operating cash flow / debt</x:t>
        </x:is>
      </x:c>
      <x:c r="C9" s="88" t="n">
        <x:f>C6/C3</x:f>
        <x:v>0.511455525606469</x:v>
      </x:c>
      <x:c r="D9" s="83" t="inlineStr">
        <x:is>
          <x:t xml:space="preserve">fraction (displayed as %)</x:t>
        </x:is>
      </x:c>
      <x:c r="E9" s="83" t="inlineStr">
        <x:is>
          <x:t xml:space="preserve">2026-06-30</x:t>
        </x:is>
      </x:c>
      <x:c r="F9" s="83" t="inlineStr">
        <x:is>
          <x:t xml:space="preserve">TTM operating cash flow / period-end baseline gross debt</x:t>
        </x:is>
      </x:c>
      <x:c r="G9" s="83" t="inlineStr">
        <x:is>
          <x:t xml:space="preserve">Calculated</x:t>
        </x:is>
      </x:c>
      <x:c r="H9" s="85" t="inlineStr">
        <x:is>
          <x:t xml:space="preserve"/>
        </x:is>
      </x:c>
    </x:row>
    <x:row r="10" ht="26" customHeight="1">
      <x:c r="A10" s="82" t="inlineStr">
        <x:is>
          <x:t xml:space="preserve">LLY</x:t>
        </x:is>
      </x:c>
      <x:c r="B10" s="83" t="inlineStr">
        <x:is>
          <x:t xml:space="preserve">Free cash flow / debt</x:t>
        </x:is>
      </x:c>
      <x:c r="C10" s="88" t="n">
        <x:f>C8/C3</x:f>
        <x:v>0.33128141618707657</x:v>
      </x:c>
      <x:c r="D10" s="83" t="inlineStr">
        <x:is>
          <x:t xml:space="preserve">fraction (displayed as %)</x:t>
        </x:is>
      </x:c>
      <x:c r="E10" s="83" t="inlineStr">
        <x:is>
          <x:t xml:space="preserve">2026-06-30</x:t>
        </x:is>
      </x:c>
      <x:c r="F10" s="83" t="inlineStr">
        <x:is>
          <x:t xml:space="preserve">TTM free cash flow / period-end baseline gross debt</x:t>
        </x:is>
      </x:c>
      <x:c r="G10" s="83" t="inlineStr">
        <x:is>
          <x:t xml:space="preserve">Calculated</x:t>
        </x:is>
      </x:c>
      <x:c r="H10" s="85" t="inlineStr">
        <x:is>
          <x:t xml:space="preserve"/>
        </x:is>
      </x:c>
    </x:row>
    <x:row r="11" ht="26" customHeight="1">
      <x:c r="A11" s="89" t="inlineStr">
        <x:is>
          <x:t xml:space="preserve">ORCL</x:t>
        </x:is>
      </x:c>
      <x:c r="B11" s="90" t="inlineStr">
        <x:is>
          <x:t xml:space="preserve">Cash and cash equivalents</x:t>
        </x:is>
      </x:c>
      <x:c r="C11" s="91" t="n">
        <x:f>'Liquidity inputs'!D13</x:f>
        <x:v>36369000000</x:v>
      </x:c>
      <x:c r="D11" s="90" t="inlineStr">
        <x:is>
          <x:t xml:space="preserve">USD (displayed in millions)</x:t>
        </x:is>
      </x:c>
      <x:c r="E11" s="90" t="inlineStr">
        <x:is>
          <x:t xml:space="preserve">2026-08-31</x:t>
        </x:is>
      </x:c>
      <x:c r="F11" s="90" t="inlineStr">
        <x:is>
          <x:t xml:space="preserve">us-gaap:CashAndCashEquivalentsAtCarryingValue</x:t>
        </x:is>
      </x:c>
      <x:c r="G11" s="90" t="inlineStr">
        <x:is>
          <x:t xml:space="preserve">Reported</x:t>
        </x:is>
      </x:c>
      <x:c r="H11" s="92" t="inlineStr">
        <x:is>
          <x:t xml:space="preserve"/>
        </x:is>
      </x:c>
    </x:row>
    <x:row r="12" ht="106" customHeight="1">
      <x:c r="A12" s="82" t="inlineStr">
        <x:is>
          <x:t xml:space="preserve">ORCL</x:t>
        </x:is>
      </x:c>
      <x:c r="B12" s="83" t="inlineStr">
        <x:is>
          <x:t xml:space="preserve">Baseline gross debt</x:t>
        </x:is>
      </x:c>
      <x:c r="C12" s="86" t="n">
        <x:f>'Liquidity inputs'!D14+'Liquidity inputs'!D15</x:f>
        <x:v>125337000000</x:v>
      </x:c>
      <x:c r="D12" s="83" t="inlineStr">
        <x:is>
          <x:t xml:space="preserve">USD (displayed in millions)</x:t>
        </x:is>
      </x:c>
      <x:c r="E12" s="83" t="inlineStr">
        <x:is>
          <x:t xml:space="preserve">2026-08-31</x:t>
        </x:is>
      </x:c>
      <x:c r="F12" s="83" t="inlineStr">
        <x:is>
          <x:t xml:space="preserve">NotesPayableCurrent + LongTermNotesAndLoans</x:t>
        </x:is>
      </x:c>
      <x:c r="G12" s="83" t="inlineStr">
        <x:is>
          <x:t xml:space="preserve">Calculated</x:t>
        </x:is>
      </x:c>
      <x:c r="H12" s="85" t="inlineStr">
        <x:is>
          <x:t xml:space="preserve">This 10-Q does not split the total by instrument: commercial paper at Aug 31, 2026 is Unavailable and is not inferred from the total.; This 10-Q's rounded $125.0 billion of senior notes and other long-term borrowings is a narrower subset of the same debt; it is not added.; Short-term financing related to capital expenditures: no balance is disclosed in this 10-Q (Unavailable); its cash-flow amounts are not added.; Excluded: rounded fair-value disclosures of borrowings, operating and finance lease liabilities, and cash-flow amounts for short-term financing related to capital expenditures</x:t>
        </x:is>
      </x:c>
    </x:row>
    <x:row r="13" ht="26" customHeight="1">
      <x:c r="A13" s="82" t="inlineStr">
        <x:is>
          <x:t xml:space="preserve">ORCL</x:t>
        </x:is>
      </x:c>
      <x:c r="B13" s="83" t="inlineStr">
        <x:is>
          <x:t xml:space="preserve">Net debt</x:t>
        </x:is>
      </x:c>
      <x:c r="C13" s="86" t="n">
        <x:f>C12-C11</x:f>
        <x:v>88968000000</x:v>
      </x:c>
      <x:c r="D13" s="83" t="inlineStr">
        <x:is>
          <x:t xml:space="preserve">USD (displayed in millions)</x:t>
        </x:is>
      </x:c>
      <x:c r="E13" s="83" t="inlineStr">
        <x:is>
          <x:t xml:space="preserve">2026-08-31</x:t>
        </x:is>
      </x:c>
      <x:c r="F13" s="83" t="inlineStr">
        <x:is>
          <x:t xml:space="preserve">Baseline gross debt - cash and cash equivalents</x:t>
        </x:is>
      </x:c>
      <x:c r="G13" s="83" t="inlineStr">
        <x:is>
          <x:t xml:space="preserve">Calculated</x:t>
        </x:is>
      </x:c>
      <x:c r="H13" s="85" t="inlineStr">
        <x:is>
          <x:t xml:space="preserve"/>
        </x:is>
      </x:c>
    </x:row>
    <x:row r="14" ht="26" customHeight="1">
      <x:c r="A14" s="82" t="inlineStr">
        <x:is>
          <x:t xml:space="preserve">ORCL</x:t>
        </x:is>
      </x:c>
      <x:c r="B14" s="83" t="inlineStr">
        <x:is>
          <x:t xml:space="preserve">Current ratio</x:t>
        </x:is>
      </x:c>
      <x:c r="C14" s="87" t="n">
        <x:f>'Liquidity inputs'!D16/'Liquidity inputs'!D17</x:f>
        <x:v>1.1708128130656228</x:v>
      </x:c>
      <x:c r="D14" s="83" t="inlineStr">
        <x:is>
          <x:t xml:space="preserve">ratio</x:t>
        </x:is>
      </x:c>
      <x:c r="E14" s="83" t="inlineStr">
        <x:is>
          <x:t xml:space="preserve">2026-08-31</x:t>
        </x:is>
      </x:c>
      <x:c r="F14" s="83" t="inlineStr">
        <x:is>
          <x:t xml:space="preserve">AssetsCurrent / LiabilitiesCurrent</x:t>
        </x:is>
      </x:c>
      <x:c r="G14" s="83" t="inlineStr">
        <x:is>
          <x:t xml:space="preserve">Calculated</x:t>
        </x:is>
      </x:c>
      <x:c r="H14" s="85" t="inlineStr">
        <x:is>
          <x:t xml:space="preserve"/>
        </x:is>
      </x:c>
    </x:row>
    <x:row r="15" ht="26" customHeight="1">
      <x:c r="A15" s="82" t="inlineStr">
        <x:is>
          <x:t xml:space="preserve">ORCL</x:t>
        </x:is>
      </x:c>
      <x:c r="B15" s="83" t="inlineStr">
        <x:is>
          <x:t xml:space="preserve">Operating cash flow</x:t>
        </x:is>
      </x:c>
      <x:c r="C15" s="86" t="n">
        <x:f>'Liquidity inputs'!D18+'Liquidity inputs'!D19-'Liquidity inputs'!D20</x:f>
        <x:v>46940000000</x:v>
      </x:c>
      <x:c r="D15" s="83" t="inlineStr">
        <x:is>
          <x:t xml:space="preserve">USD (displayed in millions)</x:t>
        </x:is>
      </x:c>
      <x:c r="E15" s="83" t="inlineStr">
        <x:is>
          <x:t xml:space="preserve">2026-08-31</x:t>
        </x:is>
      </x:c>
      <x:c r="F15" s="83" t="inlineStr">
        <x:is>
          <x:t xml:space="preserve">Fiscal year + current YTD - prior YTD</x:t>
        </x:is>
      </x:c>
      <x:c r="G15" s="83" t="inlineStr">
        <x:is>
          <x:t xml:space="preserve">Calculated</x:t>
        </x:is>
      </x:c>
      <x:c r="H15" s="85" t="inlineStr">
        <x:is>
          <x:t xml:space="preserve"/>
        </x:is>
      </x:c>
    </x:row>
    <x:row r="16" ht="26" customHeight="1">
      <x:c r="A16" s="82" t="inlineStr">
        <x:is>
          <x:t xml:space="preserve">ORCL</x:t>
        </x:is>
      </x:c>
      <x:c r="B16" s="83" t="inlineStr">
        <x:is>
          <x:t xml:space="preserve">Capital expenditures</x:t>
        </x:is>
      </x:c>
      <x:c r="C16" s="86" t="n">
        <x:f>'Liquidity inputs'!D21+'Liquidity inputs'!D22-'Liquidity inputs'!D23</x:f>
        <x:v>75660000000</x:v>
      </x:c>
      <x:c r="D16" s="83" t="inlineStr">
        <x:is>
          <x:t xml:space="preserve">USD (displayed in millions)</x:t>
        </x:is>
      </x:c>
      <x:c r="E16" s="83" t="inlineStr">
        <x:is>
          <x:t xml:space="preserve">2026-08-31</x:t>
        </x:is>
      </x:c>
      <x:c r="F16" s="83" t="inlineStr">
        <x:is>
          <x:t xml:space="preserve">Fiscal year + current YTD - prior YTD</x:t>
        </x:is>
      </x:c>
      <x:c r="G16" s="83" t="inlineStr">
        <x:is>
          <x:t xml:space="preserve">Calculated</x:t>
        </x:is>
      </x:c>
      <x:c r="H16" s="85" t="inlineStr">
        <x:is>
          <x:t xml:space="preserve"/>
        </x:is>
      </x:c>
    </x:row>
    <x:row r="17" ht="50" customHeight="1">
      <x:c r="A17" s="82" t="inlineStr">
        <x:is>
          <x:t xml:space="preserve">ORCL</x:t>
        </x:is>
      </x:c>
      <x:c r="B17" s="83" t="inlineStr">
        <x:is>
          <x:t xml:space="preserve">Free cash flow</x:t>
        </x:is>
      </x:c>
      <x:c r="C17" s="86" t="n">
        <x:f>C15-C16</x:f>
        <x:v>-28720000000</x:v>
      </x:c>
      <x:c r="D17" s="83" t="inlineStr">
        <x:is>
          <x:t xml:space="preserve">USD (displayed in millions)</x:t>
        </x:is>
      </x:c>
      <x:c r="E17" s="83" t="inlineStr">
        <x:is>
          <x:t xml:space="preserve">2026-08-31</x:t>
        </x:is>
      </x:c>
      <x:c r="F17" s="83" t="inlineStr">
        <x:is>
          <x:t xml:space="preserve">Operating cash flow - reported capital spending</x:t>
        </x:is>
      </x:c>
      <x:c r="G17" s="83" t="inlineStr">
        <x:is>
          <x:t xml:space="preserve">Calculated</x:t>
        </x:is>
      </x:c>
      <x:c r="H17" s="85" t="inlineStr">
        <x:is>
          <x:t xml:space="preserve">Operating cash flow includes $11.4B of customer prepayments received in the quarter ended Aug 31, 2026 (10-Q p. 7 and MD&amp;A pp. 33–34). Capital expenditures are cash payments; financing cash flows are not added.</x:t>
        </x:is>
      </x:c>
    </x:row>
    <x:row r="18" ht="26" customHeight="1">
      <x:c r="A18" s="82" t="inlineStr">
        <x:is>
          <x:t xml:space="preserve">ORCL</x:t>
        </x:is>
      </x:c>
      <x:c r="B18" s="83" t="inlineStr">
        <x:is>
          <x:t xml:space="preserve">Operating cash flow / debt</x:t>
        </x:is>
      </x:c>
      <x:c r="C18" s="88" t="n">
        <x:f>C15/C12</x:f>
        <x:v>0.37451032017680336</x:v>
      </x:c>
      <x:c r="D18" s="83" t="inlineStr">
        <x:is>
          <x:t xml:space="preserve">fraction (displayed as %)</x:t>
        </x:is>
      </x:c>
      <x:c r="E18" s="83" t="inlineStr">
        <x:is>
          <x:t xml:space="preserve">2026-08-31</x:t>
        </x:is>
      </x:c>
      <x:c r="F18" s="83" t="inlineStr">
        <x:is>
          <x:t xml:space="preserve">TTM operating cash flow / period-end baseline gross debt</x:t>
        </x:is>
      </x:c>
      <x:c r="G18" s="83" t="inlineStr">
        <x:is>
          <x:t xml:space="preserve">Calculated</x:t>
        </x:is>
      </x:c>
      <x:c r="H18" s="85" t="inlineStr">
        <x:is>
          <x:t xml:space="preserve"/>
        </x:is>
      </x:c>
    </x:row>
    <x:row r="19" ht="26" customHeight="1">
      <x:c r="A19" s="82" t="inlineStr">
        <x:is>
          <x:t xml:space="preserve">ORCL</x:t>
        </x:is>
      </x:c>
      <x:c r="B19" s="83" t="inlineStr">
        <x:is>
          <x:t xml:space="preserve">Free cash flow / debt</x:t>
        </x:is>
      </x:c>
      <x:c r="C19" s="88" t="n">
        <x:f>C17/C12</x:f>
        <x:v>-0.22914223254106927</x:v>
      </x:c>
      <x:c r="D19" s="83" t="inlineStr">
        <x:is>
          <x:t xml:space="preserve">fraction (displayed as %)</x:t>
        </x:is>
      </x:c>
      <x:c r="E19" s="83" t="inlineStr">
        <x:is>
          <x:t xml:space="preserve">2026-08-31</x:t>
        </x:is>
      </x:c>
      <x:c r="F19" s="83" t="inlineStr">
        <x:is>
          <x:t xml:space="preserve">TTM free cash flow / period-end baseline gross debt</x:t>
        </x:is>
      </x:c>
      <x:c r="G19" s="83" t="inlineStr">
        <x:is>
          <x:t xml:space="preserve">Calculated</x:t>
        </x:is>
      </x:c>
      <x:c r="H19" s="85" t="inlineStr">
        <x:is>
          <x:t xml:space="preserve"/>
        </x:is>
      </x:c>
    </x:row>
    <x:row r="20" ht="26" customHeight="1">
      <x:c r="A20" s="89" t="inlineStr">
        <x:is>
          <x:t xml:space="preserve">VST</x:t>
        </x:is>
      </x:c>
      <x:c r="B20" s="90" t="inlineStr">
        <x:is>
          <x:t xml:space="preserve">Cash and cash equivalents</x:t>
        </x:is>
      </x:c>
      <x:c r="C20" s="91" t="n">
        <x:f>'Liquidity inputs'!D24</x:f>
        <x:v>435000000</x:v>
      </x:c>
      <x:c r="D20" s="90" t="inlineStr">
        <x:is>
          <x:t xml:space="preserve">USD (displayed in millions)</x:t>
        </x:is>
      </x:c>
      <x:c r="E20" s="90" t="inlineStr">
        <x:is>
          <x:t xml:space="preserve">2026-06-30</x:t>
        </x:is>
      </x:c>
      <x:c r="F20" s="90" t="inlineStr">
        <x:is>
          <x:t xml:space="preserve">us-gaap:CashAndCashEquivalentsAtCarryingValue</x:t>
        </x:is>
      </x:c>
      <x:c r="G20" s="90" t="inlineStr">
        <x:is>
          <x:t xml:space="preserve">Reported</x:t>
        </x:is>
      </x:c>
      <x:c r="H20" s="92" t="inlineStr">
        <x:is>
          <x:t xml:space="preserve"/>
        </x:is>
      </x:c>
    </x:row>
    <x:row r="21" ht="50" customHeight="1">
      <x:c r="A21" s="82" t="inlineStr">
        <x:is>
          <x:t xml:space="preserve">VST</x:t>
        </x:is>
      </x:c>
      <x:c r="B21" s="83" t="inlineStr">
        <x:is>
          <x:t xml:space="preserve">Baseline gross debt</x:t>
        </x:is>
      </x:c>
      <x:c r="C21" s="86" t="n">
        <x:f>'Liquidity inputs'!D25+'Liquidity inputs'!D26+'Liquidity inputs'!D27+'Liquidity inputs'!D28</x:f>
        <x:v>19895000000</x:v>
      </x:c>
      <x:c r="D21" s="83" t="inlineStr">
        <x:is>
          <x:t xml:space="preserve">USD (displayed in millions)</x:t>
        </x:is>
      </x:c>
      <x:c r="E21" s="83" t="inlineStr">
        <x:is>
          <x:t xml:space="preserve">2026-06-30</x:t>
        </x:is>
      </x:c>
      <x:c r="F21" s="83" t="inlineStr">
        <x:is>
          <x:t xml:space="preserve">LongTermDebtAndCapitalLeaseObligationsCurrent + LongTermDebtAndCapitalLeaseObligations + ShortTermBorrowings + vistra:AccountsReceivableSecuritizationProgramAmountsBorrowed</x:t>
        </x:is>
      </x:c>
      <x:c r="G21" s="83" t="inlineStr">
        <x:is>
          <x:t xml:space="preserve">Calculated</x:t>
        </x:is>
      </x:c>
      <x:c r="H21" s="85" t="inlineStr">
        <x:is>
          <x:t xml:space="preserve">Excluded: lease liabilities, the forward repurchase obligation, margin deposits financing with affiliate, and project-level debt again (it is already inside long-term debt)</x:t>
        </x:is>
      </x:c>
    </x:row>
    <x:row r="22" ht="26" customHeight="1">
      <x:c r="A22" s="82" t="inlineStr">
        <x:is>
          <x:t xml:space="preserve">VST</x:t>
        </x:is>
      </x:c>
      <x:c r="B22" s="83" t="inlineStr">
        <x:is>
          <x:t xml:space="preserve">Net debt</x:t>
        </x:is>
      </x:c>
      <x:c r="C22" s="86" t="n">
        <x:f>C21-C20</x:f>
        <x:v>19460000000</x:v>
      </x:c>
      <x:c r="D22" s="83" t="inlineStr">
        <x:is>
          <x:t xml:space="preserve">USD (displayed in millions)</x:t>
        </x:is>
      </x:c>
      <x:c r="E22" s="83" t="inlineStr">
        <x:is>
          <x:t xml:space="preserve">2026-06-30</x:t>
        </x:is>
      </x:c>
      <x:c r="F22" s="83" t="inlineStr">
        <x:is>
          <x:t xml:space="preserve">Baseline gross debt - cash and cash equivalents</x:t>
        </x:is>
      </x:c>
      <x:c r="G22" s="83" t="inlineStr">
        <x:is>
          <x:t xml:space="preserve">Calculated</x:t>
        </x:is>
      </x:c>
      <x:c r="H22" s="85" t="inlineStr">
        <x:is>
          <x:t xml:space="preserve"/>
        </x:is>
      </x:c>
    </x:row>
    <x:row r="23" ht="26" customHeight="1">
      <x:c r="A23" s="82" t="inlineStr">
        <x:is>
          <x:t xml:space="preserve">VST</x:t>
        </x:is>
      </x:c>
      <x:c r="B23" s="83" t="inlineStr">
        <x:is>
          <x:t xml:space="preserve">Current ratio</x:t>
        </x:is>
      </x:c>
      <x:c r="C23" s="87" t="n">
        <x:f>'Liquidity inputs'!D29/'Liquidity inputs'!D30</x:f>
        <x:v>0.9733825897508762</x:v>
      </x:c>
      <x:c r="D23" s="83" t="inlineStr">
        <x:is>
          <x:t xml:space="preserve">ratio</x:t>
        </x:is>
      </x:c>
      <x:c r="E23" s="83" t="inlineStr">
        <x:is>
          <x:t xml:space="preserve">2026-06-30</x:t>
        </x:is>
      </x:c>
      <x:c r="F23" s="83" t="inlineStr">
        <x:is>
          <x:t xml:space="preserve">AssetsCurrent / LiabilitiesCurrent</x:t>
        </x:is>
      </x:c>
      <x:c r="G23" s="83" t="inlineStr">
        <x:is>
          <x:t xml:space="preserve">Calculated</x:t>
        </x:is>
      </x:c>
      <x:c r="H23" s="85" t="inlineStr">
        <x:is>
          <x:t xml:space="preserve"/>
        </x:is>
      </x:c>
    </x:row>
    <x:row r="24" ht="26" customHeight="1">
      <x:c r="A24" s="82" t="inlineStr">
        <x:is>
          <x:t xml:space="preserve">VST</x:t>
        </x:is>
      </x:c>
      <x:c r="B24" s="83" t="inlineStr">
        <x:is>
          <x:t xml:space="preserve">Operating cash flow</x:t>
        </x:is>
      </x:c>
      <x:c r="C24" s="86" t="n">
        <x:f>'Liquidity inputs'!D31+'Liquidity inputs'!D32-'Liquidity inputs'!D33</x:f>
        <x:v>5121000000</x:v>
      </x:c>
      <x:c r="D24" s="83" t="inlineStr">
        <x:is>
          <x:t xml:space="preserve">USD (displayed in millions)</x:t>
        </x:is>
      </x:c>
      <x:c r="E24" s="83" t="inlineStr">
        <x:is>
          <x:t xml:space="preserve">2026-06-30</x:t>
        </x:is>
      </x:c>
      <x:c r="F24" s="83" t="inlineStr">
        <x:is>
          <x:t xml:space="preserve">Fiscal year + current YTD - prior YTD</x:t>
        </x:is>
      </x:c>
      <x:c r="G24" s="83" t="inlineStr">
        <x:is>
          <x:t xml:space="preserve">Calculated</x:t>
        </x:is>
      </x:c>
      <x:c r="H24" s="85" t="inlineStr">
        <x:is>
          <x:t xml:space="preserve"/>
        </x:is>
      </x:c>
    </x:row>
    <x:row r="25" ht="36" customHeight="1">
      <x:c r="A25" s="82" t="inlineStr">
        <x:is>
          <x:t xml:space="preserve">VST</x:t>
        </x:is>
      </x:c>
      <x:c r="B25" s="83" t="inlineStr">
        <x:is>
          <x:t xml:space="preserve">Capital expenditures, including nuclear fuel and LTSA prepayments</x:t>
        </x:is>
      </x:c>
      <x:c r="C25" s="86" t="n">
        <x:f>'Liquidity inputs'!D34+'Liquidity inputs'!D35-'Liquidity inputs'!D36</x:f>
        <x:v>2866000000</x:v>
      </x:c>
      <x:c r="D25" s="83" t="inlineStr">
        <x:is>
          <x:t xml:space="preserve">USD (displayed in millions)</x:t>
        </x:is>
      </x:c>
      <x:c r="E25" s="83" t="inlineStr">
        <x:is>
          <x:t xml:space="preserve">2026-06-30</x:t>
        </x:is>
      </x:c>
      <x:c r="F25" s="83" t="inlineStr">
        <x:is>
          <x:t xml:space="preserve">Fiscal year + current YTD - prior YTD</x:t>
        </x:is>
      </x:c>
      <x:c r="G25" s="83" t="inlineStr">
        <x:is>
          <x:t xml:space="preserve">Calculated</x:t>
        </x:is>
      </x:c>
      <x:c r="H25" s="85" t="inlineStr">
        <x:is>
          <x:t xml:space="preserve"/>
        </x:is>
      </x:c>
    </x:row>
    <x:row r="26" ht="50" customHeight="1">
      <x:c r="A26" s="82" t="inlineStr">
        <x:is>
          <x:t xml:space="preserve">VST</x:t>
        </x:is>
      </x:c>
      <x:c r="B26" s="83" t="inlineStr">
        <x:is>
          <x:t xml:space="preserve">Free cash flow</x:t>
        </x:is>
      </x:c>
      <x:c r="C26" s="86" t="n">
        <x:f>C24-C25</x:f>
        <x:v>2255000000</x:v>
      </x:c>
      <x:c r="D26" s="83" t="inlineStr">
        <x:is>
          <x:t xml:space="preserve">USD (displayed in millions)</x:t>
        </x:is>
      </x:c>
      <x:c r="E26" s="83" t="inlineStr">
        <x:is>
          <x:t xml:space="preserve">2026-06-30</x:t>
        </x:is>
      </x:c>
      <x:c r="F26" s="83" t="inlineStr">
        <x:is>
          <x:t xml:space="preserve">Operating cash flow - reported capital spending</x:t>
        </x:is>
      </x:c>
      <x:c r="G26" s="83" t="inlineStr">
        <x:is>
          <x:t xml:space="preserve">Calculated</x:t>
        </x:is>
      </x:c>
      <x:c r="H26" s="85" t="inlineStr">
        <x:is>
          <x:t xml:space="preserve">The reported capex line includes nuclear fuel purchases and long-term service agreement (LTSA) prepayments. It is used as reported; acquisitions and other investing cash flows are excluded.</x:t>
        </x:is>
      </x:c>
    </x:row>
    <x:row r="27" ht="26" customHeight="1">
      <x:c r="A27" s="82" t="inlineStr">
        <x:is>
          <x:t xml:space="preserve">VST</x:t>
        </x:is>
      </x:c>
      <x:c r="B27" s="83" t="inlineStr">
        <x:is>
          <x:t xml:space="preserve">Operating cash flow / debt</x:t>
        </x:is>
      </x:c>
      <x:c r="C27" s="88" t="n">
        <x:f>C24/C21</x:f>
        <x:v>0.25740135712490575</x:v>
      </x:c>
      <x:c r="D27" s="83" t="inlineStr">
        <x:is>
          <x:t xml:space="preserve">fraction (displayed as %)</x:t>
        </x:is>
      </x:c>
      <x:c r="E27" s="83" t="inlineStr">
        <x:is>
          <x:t xml:space="preserve">2026-06-30</x:t>
        </x:is>
      </x:c>
      <x:c r="F27" s="83" t="inlineStr">
        <x:is>
          <x:t xml:space="preserve">TTM operating cash flow / period-end baseline gross debt</x:t>
        </x:is>
      </x:c>
      <x:c r="G27" s="83" t="inlineStr">
        <x:is>
          <x:t xml:space="preserve">Calculated</x:t>
        </x:is>
      </x:c>
      <x:c r="H27" s="85" t="inlineStr">
        <x:is>
          <x:t xml:space="preserve"/>
        </x:is>
      </x:c>
    </x:row>
    <x:row r="28" ht="26" customHeight="1">
      <x:c r="A28" s="93" t="inlineStr">
        <x:is>
          <x:t xml:space="preserve">VST</x:t>
        </x:is>
      </x:c>
      <x:c r="B28" s="94" t="inlineStr">
        <x:is>
          <x:t xml:space="preserve">Free cash flow / debt</x:t>
        </x:is>
      </x:c>
      <x:c r="C28" s="95" t="n">
        <x:f>C26/C21</x:f>
        <x:v>0.11334506157325962</x:v>
      </x:c>
      <x:c r="D28" s="94" t="inlineStr">
        <x:is>
          <x:t xml:space="preserve">fraction (displayed as %)</x:t>
        </x:is>
      </x:c>
      <x:c r="E28" s="94" t="inlineStr">
        <x:is>
          <x:t xml:space="preserve">2026-06-30</x:t>
        </x:is>
      </x:c>
      <x:c r="F28" s="94" t="inlineStr">
        <x:is>
          <x:t xml:space="preserve">TTM free cash flow / period-end baseline gross debt</x:t>
        </x:is>
      </x:c>
      <x:c r="G28" s="94" t="inlineStr">
        <x:is>
          <x:t xml:space="preserve">Calculated</x:t>
        </x:is>
      </x:c>
      <x:c r="H28" s="96" t="inlineStr">
        <x:is>
          <x:t xml:space="preserve"/>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9" hidden="0" customWidth="1"/>
    <x:col min="2" max="2" width="32" hidden="0" customWidth="1"/>
    <x:col min="3" max="3" width="53" hidden="0" customWidth="1"/>
    <x:col min="4" max="4" width="21" hidden="0" customWidth="1"/>
    <x:col min="5" max="5" width="20" hidden="0" customWidth="1"/>
    <x:col min="6" max="6" width="14" hidden="0" customWidth="1"/>
    <x:col min="7" max="7" width="20" hidden="0" customWidth="1"/>
    <x:col min="8" max="8" width="33" hidden="0" customWidth="1"/>
    <x:col min="9" max="9" width="68" hidden="0" customWidth="1"/>
    <x:col min="10" max="10" width="62" hidden="0" customWidth="1"/>
    <x:col min="11" max="11" width="65" hidden="0" customWidth="1"/>
    <x:col min="12" max="12" width="65" hidden="0" customWidth="1"/>
    <x:col min="13" max="13" width="24" hidden="0" customWidth="1"/>
    <x:col min="14" max="14" width="12" hidden="0" customWidth="1"/>
    <x:col min="15" max="15" width="12" hidden="0" customWidth="1"/>
    <x:col min="16" max="16" width="20" hidden="0" customWidth="1"/>
    <x:col min="17" max="17" width="18" hidden="0" customWidth="1"/>
    <x:col min="18" max="18" width="14" hidden="0" customWidth="1"/>
  </x:cols>
  <x:sheetData>
    <x:row r="1" ht="32" customHeight="1">
      <x:c r="A1" s="97" t="inlineStr">
        <x:is>
          <x:t xml:space="preserve">Ticker</x:t>
        </x:is>
      </x:c>
      <x:c r="B1" s="98" t="inlineStr">
        <x:is>
          <x:t xml:space="preserve">Metric</x:t>
        </x:is>
      </x:c>
      <x:c r="C1" s="98" t="inlineStr">
        <x:is>
          <x:t xml:space="preserve">Reported input</x:t>
        </x:is>
      </x:c>
      <x:c r="D1" s="98" t="str">
        <x:v>USD millions (stored USD)</x:v>
      </x:c>
      <x:c r="E1" s="98" t="inlineStr">
        <x:is>
          <x:t xml:space="preserve">Period end</x:t>
        </x:is>
      </x:c>
      <x:c r="F1" s="98" t="inlineStr">
        <x:is>
          <x:t xml:space="preserve">Form</x:t>
        </x:is>
      </x:c>
      <x:c r="G1" s="98" t="inlineStr">
        <x:is>
          <x:t xml:space="preserve">Filed</x:t>
        </x:is>
      </x:c>
      <x:c r="H1" s="98" t="inlineStr">
        <x:is>
          <x:t xml:space="preserve">Accession</x:t>
        </x:is>
      </x:c>
      <x:c r="I1" s="98" t="inlineStr">
        <x:is>
          <x:t xml:space="preserve">Tag</x:t>
        </x:is>
      </x:c>
      <x:c r="J1" s="98" t="inlineStr">
        <x:is>
          <x:t xml:space="preserve">Selection rule</x:t>
        </x:is>
      </x:c>
      <x:c r="K1" s="98" t="inlineStr">
        <x:is>
          <x:t xml:space="preserve">Source document</x:t>
        </x:is>
      </x:c>
      <x:c r="L1" s="98" t="inlineStr">
        <x:is>
          <x:t xml:space="preserve">Notes</x:t>
        </x:is>
      </x:c>
      <x:c r="M1" s="98" t="inlineStr">
        <x:is>
          <x:t xml:space="preserve">Context ID</x:t>
        </x:is>
      </x:c>
      <x:c r="N1" s="98" t="inlineStr">
        <x:is>
          <x:t xml:space="preserve">Scale</x:t>
        </x:is>
      </x:c>
      <x:c r="O1" s="98" t="inlineStr">
        <x:is>
          <x:t xml:space="preserve">Decimals</x:t>
        </x:is>
      </x:c>
      <x:c r="P1" s="98" t="inlineStr">
        <x:is>
          <x:t xml:space="preserve">Period start</x:t>
        </x:is>
      </x:c>
      <x:c r="Q1" s="98" t="inlineStr">
        <x:is>
          <x:t xml:space="preserve">TTM role</x:t>
        </x:is>
      </x:c>
      <x:c r="R1" s="99" t="inlineStr">
        <x:is>
          <x:t xml:space="preserve">Coefficient</x:t>
        </x:is>
      </x:c>
    </x:row>
    <x:row r="2" ht="36" customHeight="1">
      <x:c r="A2" s="100" t="inlineStr">
        <x:is>
          <x:t xml:space="preserve">LLY</x:t>
        </x:is>
      </x:c>
      <x:c r="B2" s="83" t="inlineStr">
        <x:is>
          <x:t xml:space="preserve">Cash and cash equivalents</x:t>
        </x:is>
      </x:c>
      <x:c r="C2" s="83" t="inlineStr">
        <x:is>
          <x:t xml:space="preserve">Cash and cash equivalents</x:t>
        </x:is>
      </x:c>
      <x:c r="D2" s="101" t="n">
        <x:v>8950000000</x:v>
      </x:c>
      <x:c r="E2" s="83" t="inlineStr">
        <x:is>
          <x:t xml:space="preserve">2026-06-30</x:t>
        </x:is>
      </x:c>
      <x:c r="F2" s="83" t="inlineStr">
        <x:is>
          <x:t xml:space="preserve">10-Q</x:t>
        </x:is>
      </x:c>
      <x:c r="G2" s="83" t="inlineStr">
        <x:is>
          <x:t xml:space="preserve">2026-08-05</x:t>
        </x:is>
      </x:c>
      <x:c r="H2" s="83" t="inlineStr">
        <x:is>
          <x:t xml:space="preserve">0000059478-26-000081</x:t>
        </x:is>
      </x:c>
      <x:c r="I2" s="83" t="inlineStr">
        <x:is>
          <x:t xml:space="preserve">us-gaap:CashAndCashEquivalentsAtCarryingValue</x:t>
        </x:is>
      </x:c>
      <x:c r="J2" s="83" t="inlineStr">
        <x:is>
          <x:t xml:space="preserve">USD instant at the balance-sheet date, from the latest original 10-K or 10-Q itself</x:t>
        </x:is>
      </x:c>
      <x:c r="K2" s="83" t="inlineStr">
        <x:is>
          <x:t xml:space="preserve">https://www.sec.gov/Archives/edgar/data/59478/000005947826000081/lly-20260630.htm</x:t>
        </x:is>
      </x:c>
      <x:c r="L2" s="83" t="inlineStr">
        <x:is>
          <x:t xml:space="preserve"/>
        </x:is>
      </x:c>
      <x:c r="M2" s="83" t="n"/>
      <x:c r="N2" s="83" t="n"/>
      <x:c r="O2" s="83" t="n"/>
      <x:c r="P2" s="83" t="n"/>
      <x:c r="Q2" s="83" t="n"/>
      <x:c r="R2" s="85" t="n"/>
    </x:row>
    <x:row r="3" ht="36" customHeight="1">
      <x:c r="A3" s="100" t="inlineStr">
        <x:is>
          <x:t xml:space="preserve">LLY</x:t>
        </x:is>
      </x:c>
      <x:c r="B3" s="83" t="inlineStr">
        <x:is>
          <x:t xml:space="preserve">Baseline gross debt</x:t>
        </x:is>
      </x:c>
      <x:c r="C3" s="83" t="inlineStr">
        <x:is>
          <x:t xml:space="preserve">Short-term borrowings and current maturities of long-term debt</x:t>
        </x:is>
      </x:c>
      <x:c r="D3" s="101" t="n">
        <x:v>7050000000</x:v>
      </x:c>
      <x:c r="E3" s="83" t="inlineStr">
        <x:is>
          <x:t xml:space="preserve">2026-06-30</x:t>
        </x:is>
      </x:c>
      <x:c r="F3" s="83" t="inlineStr">
        <x:is>
          <x:t xml:space="preserve">10-Q</x:t>
        </x:is>
      </x:c>
      <x:c r="G3" s="83" t="inlineStr">
        <x:is>
          <x:t xml:space="preserve">2026-08-05</x:t>
        </x:is>
      </x:c>
      <x:c r="H3" s="83" t="inlineStr">
        <x:is>
          <x:t xml:space="preserve">0000059478-26-000081</x:t>
        </x:is>
      </x:c>
      <x:c r="I3" s="83" t="inlineStr">
        <x:is>
          <x:t xml:space="preserve">us-gaap:DebtCurrent</x:t>
        </x:is>
      </x:c>
      <x:c r="J3" s="83" t="inlineStr">
        <x:is>
          <x:t xml:space="preserve">USD instant at the balance-sheet date, from the latest original 10-K or 10-Q itself</x:t>
        </x:is>
      </x:c>
      <x:c r="K3" s="83" t="inlineStr">
        <x:is>
          <x:t xml:space="preserve">https://www.sec.gov/Archives/edgar/data/59478/000005947826000081/lly-20260630.htm</x:t>
        </x:is>
      </x:c>
      <x:c r="L3" s="83" t="inlineStr">
        <x:is>
          <x:t xml:space="preserve"/>
        </x:is>
      </x:c>
      <x:c r="M3" s="83" t="n"/>
      <x:c r="N3" s="83" t="n"/>
      <x:c r="O3" s="83" t="n"/>
      <x:c r="P3" s="83" t="n"/>
      <x:c r="Q3" s="83" t="n"/>
      <x:c r="R3" s="85" t="n"/>
    </x:row>
    <x:row r="4" ht="36" customHeight="1">
      <x:c r="A4" s="100" t="inlineStr">
        <x:is>
          <x:t xml:space="preserve">LLY</x:t>
        </x:is>
      </x:c>
      <x:c r="B4" s="83" t="inlineStr">
        <x:is>
          <x:t xml:space="preserve">Baseline gross debt</x:t>
        </x:is>
      </x:c>
      <x:c r="C4" s="83" t="inlineStr">
        <x:is>
          <x:t xml:space="preserve">Long-term debt</x:t>
        </x:is>
      </x:c>
      <x:c r="D4" s="101" t="n">
        <x:v>47858000000</x:v>
      </x:c>
      <x:c r="E4" s="83" t="inlineStr">
        <x:is>
          <x:t xml:space="preserve">2026-06-30</x:t>
        </x:is>
      </x:c>
      <x:c r="F4" s="83" t="inlineStr">
        <x:is>
          <x:t xml:space="preserve">10-Q</x:t>
        </x:is>
      </x:c>
      <x:c r="G4" s="83" t="inlineStr">
        <x:is>
          <x:t xml:space="preserve">2026-08-05</x:t>
        </x:is>
      </x:c>
      <x:c r="H4" s="83" t="inlineStr">
        <x:is>
          <x:t xml:space="preserve">0000059478-26-000081</x:t>
        </x:is>
      </x:c>
      <x:c r="I4" s="83" t="inlineStr">
        <x:is>
          <x:t xml:space="preserve">us-gaap:LongTermDebtNoncurrent</x:t>
        </x:is>
      </x:c>
      <x:c r="J4" s="83" t="inlineStr">
        <x:is>
          <x:t xml:space="preserve">USD instant at the balance-sheet date, from the latest original 10-K or 10-Q itself</x:t>
        </x:is>
      </x:c>
      <x:c r="K4" s="83" t="inlineStr">
        <x:is>
          <x:t xml:space="preserve">https://www.sec.gov/Archives/edgar/data/59478/000005947826000081/lly-20260630.htm</x:t>
        </x:is>
      </x:c>
      <x:c r="L4" s="83" t="inlineStr">
        <x:is>
          <x:t xml:space="preserve"/>
        </x:is>
      </x:c>
      <x:c r="M4" s="83" t="n"/>
      <x:c r="N4" s="83" t="n"/>
      <x:c r="O4" s="83" t="n"/>
      <x:c r="P4" s="83" t="n"/>
      <x:c r="Q4" s="83" t="n"/>
      <x:c r="R4" s="85" t="n"/>
    </x:row>
    <x:row r="5" ht="36" customHeight="1">
      <x:c r="A5" s="100" t="inlineStr">
        <x:is>
          <x:t xml:space="preserve">LLY</x:t>
        </x:is>
      </x:c>
      <x:c r="B5" s="83" t="inlineStr">
        <x:is>
          <x:t xml:space="preserve">Current ratio</x:t>
        </x:is>
      </x:c>
      <x:c r="C5" s="83" t="inlineStr">
        <x:is>
          <x:t xml:space="preserve">Current assets</x:t>
        </x:is>
      </x:c>
      <x:c r="D5" s="101" t="n">
        <x:v>64672000000</x:v>
      </x:c>
      <x:c r="E5" s="83" t="inlineStr">
        <x:is>
          <x:t xml:space="preserve">2026-06-30</x:t>
        </x:is>
      </x:c>
      <x:c r="F5" s="83" t="inlineStr">
        <x:is>
          <x:t xml:space="preserve">10-Q</x:t>
        </x:is>
      </x:c>
      <x:c r="G5" s="83" t="inlineStr">
        <x:is>
          <x:t xml:space="preserve">2026-08-05</x:t>
        </x:is>
      </x:c>
      <x:c r="H5" s="83" t="inlineStr">
        <x:is>
          <x:t xml:space="preserve">0000059478-26-000081</x:t>
        </x:is>
      </x:c>
      <x:c r="I5" s="83" t="inlineStr">
        <x:is>
          <x:t xml:space="preserve">us-gaap:AssetsCurrent</x:t>
        </x:is>
      </x:c>
      <x:c r="J5" s="83" t="inlineStr">
        <x:is>
          <x:t xml:space="preserve">USD instant at the balance-sheet date, from the latest original 10-K or 10-Q itself</x:t>
        </x:is>
      </x:c>
      <x:c r="K5" s="83" t="inlineStr">
        <x:is>
          <x:t xml:space="preserve">https://www.sec.gov/Archives/edgar/data/59478/000005947826000081/lly-20260630.htm</x:t>
        </x:is>
      </x:c>
      <x:c r="L5" s="83" t="inlineStr">
        <x:is>
          <x:t xml:space="preserve"/>
        </x:is>
      </x:c>
      <x:c r="M5" s="83" t="n"/>
      <x:c r="N5" s="83" t="n"/>
      <x:c r="O5" s="83" t="n"/>
      <x:c r="P5" s="83" t="n"/>
      <x:c r="Q5" s="83" t="n"/>
      <x:c r="R5" s="85" t="n"/>
    </x:row>
    <x:row r="6" ht="36" customHeight="1">
      <x:c r="A6" s="100" t="inlineStr">
        <x:is>
          <x:t xml:space="preserve">LLY</x:t>
        </x:is>
      </x:c>
      <x:c r="B6" s="83" t="inlineStr">
        <x:is>
          <x:t xml:space="preserve">Current ratio</x:t>
        </x:is>
      </x:c>
      <x:c r="C6" s="83" t="inlineStr">
        <x:is>
          <x:t xml:space="preserve">Current liabilities</x:t>
        </x:is>
      </x:c>
      <x:c r="D6" s="101" t="n">
        <x:v>47741000000</x:v>
      </x:c>
      <x:c r="E6" s="83" t="inlineStr">
        <x:is>
          <x:t xml:space="preserve">2026-06-30</x:t>
        </x:is>
      </x:c>
      <x:c r="F6" s="83" t="inlineStr">
        <x:is>
          <x:t xml:space="preserve">10-Q</x:t>
        </x:is>
      </x:c>
      <x:c r="G6" s="83" t="inlineStr">
        <x:is>
          <x:t xml:space="preserve">2026-08-05</x:t>
        </x:is>
      </x:c>
      <x:c r="H6" s="83" t="inlineStr">
        <x:is>
          <x:t xml:space="preserve">0000059478-26-000081</x:t>
        </x:is>
      </x:c>
      <x:c r="I6" s="83" t="inlineStr">
        <x:is>
          <x:t xml:space="preserve">us-gaap:LiabilitiesCurrent</x:t>
        </x:is>
      </x:c>
      <x:c r="J6" s="83" t="inlineStr">
        <x:is>
          <x:t xml:space="preserve">USD instant at the balance-sheet date, from the latest original 10-K or 10-Q itself</x:t>
        </x:is>
      </x:c>
      <x:c r="K6" s="83" t="inlineStr">
        <x:is>
          <x:t xml:space="preserve">https://www.sec.gov/Archives/edgar/data/59478/000005947826000081/lly-20260630.htm</x:t>
        </x:is>
      </x:c>
      <x:c r="L6" s="83" t="inlineStr">
        <x:is>
          <x:t xml:space="preserve"/>
        </x:is>
      </x:c>
      <x:c r="M6" s="83" t="n"/>
      <x:c r="N6" s="83" t="n"/>
      <x:c r="O6" s="83" t="n"/>
      <x:c r="P6" s="83" t="n"/>
      <x:c r="Q6" s="83" t="n"/>
      <x:c r="R6" s="85" t="n"/>
    </x:row>
    <x:row r="7" ht="36" customHeight="1">
      <x:c r="A7" s="100" t="inlineStr">
        <x:is>
          <x:t xml:space="preserve">LLY</x:t>
        </x:is>
      </x:c>
      <x:c r="B7" s="83" t="inlineStr">
        <x:is>
          <x:t xml:space="preserve">Operating cash flow</x:t>
        </x:is>
      </x:c>
      <x:c r="C7" s="83" t="inlineStr">
        <x:is>
          <x:t xml:space="preserve">Operating cash flow · fiscal year</x:t>
        </x:is>
      </x:c>
      <x:c r="D7" s="101" t="n">
        <x:v>16813000000</x:v>
      </x:c>
      <x:c r="E7" s="83" t="inlineStr">
        <x:is>
          <x:t xml:space="preserve">2025-12-31</x:t>
        </x:is>
      </x:c>
      <x:c r="F7" s="83" t="inlineStr">
        <x:is>
          <x:t xml:space="preserve">10-K</x:t>
        </x:is>
      </x:c>
      <x:c r="G7" s="83" t="inlineStr">
        <x:is>
          <x:t xml:space="preserve">2026-02-12</x:t>
        </x:is>
      </x:c>
      <x:c r="H7" s="83" t="inlineStr">
        <x:is>
          <x:t xml:space="preserve">0000059478-26-000013</x:t>
        </x:is>
      </x:c>
      <x:c r="I7" s="83" t="inlineStr">
        <x:is>
          <x:t xml:space="preserve">us-gaap:NetCashProvidedByUsedInOperatingActivities</x:t>
        </x:is>
      </x:c>
      <x:c r="J7" s="83" t="inlineStr">
        <x:is>
          <x:t xml:space="preserve">Exact tag, USD duration, exact start and end dates, no dimensions</x:t>
        </x:is>
      </x:c>
      <x:c r="K7" s="83" t="inlineStr">
        <x:is>
          <x:t xml:space="preserve">https://www.sec.gov/Archives/edgar/data/59478/000005947826000013/lly-20251231.htm</x:t>
        </x:is>
      </x:c>
      <x:c r="L7" s="83" t="inlineStr">
        <x:is>
          <x:t xml:space="preserve"/>
        </x:is>
      </x:c>
      <x:c r="M7" s="83" t="inlineStr">
        <x:is>
          <x:t xml:space="preserve">c-1</x:t>
        </x:is>
      </x:c>
      <x:c r="N7" s="83" t="n">
        <x:v>6</x:v>
      </x:c>
      <x:c r="O7" s="83" t="inlineStr">
        <x:is>
          <x:t xml:space="preserve">-6</x:t>
        </x:is>
      </x:c>
      <x:c r="P7" s="83" t="inlineStr">
        <x:is>
          <x:t xml:space="preserve">2025-01-01</x:t>
        </x:is>
      </x:c>
      <x:c r="Q7" s="83" t="inlineStr">
        <x:is>
          <x:t xml:space="preserve">Fiscal year</x:t>
        </x:is>
      </x:c>
      <x:c r="R7" s="85" t="n">
        <x:v>1</x:v>
      </x:c>
    </x:row>
    <x:row r="8" ht="36" customHeight="1">
      <x:c r="A8" s="100" t="inlineStr">
        <x:is>
          <x:t xml:space="preserve">LLY</x:t>
        </x:is>
      </x:c>
      <x:c r="B8" s="83" t="inlineStr">
        <x:is>
          <x:t xml:space="preserve">Operating cash flow</x:t>
        </x:is>
      </x:c>
      <x:c r="C8" s="83" t="inlineStr">
        <x:is>
          <x:t xml:space="preserve">Operating cash flow · current year to date</x:t>
        </x:is>
      </x:c>
      <x:c r="D8" s="101" t="n">
        <x:v>16023000000</x:v>
      </x:c>
      <x:c r="E8" s="83" t="inlineStr">
        <x:is>
          <x:t xml:space="preserve">2026-06-30</x:t>
        </x:is>
      </x:c>
      <x:c r="F8" s="83" t="inlineStr">
        <x:is>
          <x:t xml:space="preserve">10-Q</x:t>
        </x:is>
      </x:c>
      <x:c r="G8" s="83" t="inlineStr">
        <x:is>
          <x:t xml:space="preserve">2026-08-05</x:t>
        </x:is>
      </x:c>
      <x:c r="H8" s="83" t="inlineStr">
        <x:is>
          <x:t xml:space="preserve">0000059478-26-000081</x:t>
        </x:is>
      </x:c>
      <x:c r="I8" s="83" t="inlineStr">
        <x:is>
          <x:t xml:space="preserve">us-gaap:NetCashProvidedByUsedInOperatingActivities</x:t>
        </x:is>
      </x:c>
      <x:c r="J8" s="83" t="inlineStr">
        <x:is>
          <x:t xml:space="preserve">Exact tag, USD duration, exact start and end dates, no dimensions</x:t>
        </x:is>
      </x:c>
      <x:c r="K8" s="83" t="inlineStr">
        <x:is>
          <x:t xml:space="preserve">https://www.sec.gov/Archives/edgar/data/59478/000005947826000081/lly-20260630.htm</x:t>
        </x:is>
      </x:c>
      <x:c r="L8" s="83" t="inlineStr">
        <x:is>
          <x:t xml:space="preserve"/>
        </x:is>
      </x:c>
      <x:c r="M8" s="83" t="inlineStr">
        <x:is>
          <x:t xml:space="preserve">c-1</x:t>
        </x:is>
      </x:c>
      <x:c r="N8" s="83" t="n">
        <x:v>6</x:v>
      </x:c>
      <x:c r="O8" s="83" t="inlineStr">
        <x:is>
          <x:t xml:space="preserve">-6</x:t>
        </x:is>
      </x:c>
      <x:c r="P8" s="83" t="inlineStr">
        <x:is>
          <x:t xml:space="preserve">2026-01-01</x:t>
        </x:is>
      </x:c>
      <x:c r="Q8" s="83" t="inlineStr">
        <x:is>
          <x:t xml:space="preserve">Current year to date</x:t>
        </x:is>
      </x:c>
      <x:c r="R8" s="85" t="n">
        <x:v>1</x:v>
      </x:c>
    </x:row>
    <x:row r="9" ht="36" customHeight="1">
      <x:c r="A9" s="100" t="inlineStr">
        <x:is>
          <x:t xml:space="preserve">LLY</x:t>
        </x:is>
      </x:c>
      <x:c r="B9" s="83" t="inlineStr">
        <x:is>
          <x:t xml:space="preserve">Operating cash flow</x:t>
        </x:is>
      </x:c>
      <x:c r="C9" s="83" t="inlineStr">
        <x:is>
          <x:t xml:space="preserve">Operating cash flow · prior year to date</x:t>
        </x:is>
      </x:c>
      <x:c r="D9" s="101" t="n">
        <x:v>4753000000</x:v>
      </x:c>
      <x:c r="E9" s="83" t="inlineStr">
        <x:is>
          <x:t xml:space="preserve">2025-06-30</x:t>
        </x:is>
      </x:c>
      <x:c r="F9" s="83" t="inlineStr">
        <x:is>
          <x:t xml:space="preserve">10-Q</x:t>
        </x:is>
      </x:c>
      <x:c r="G9" s="83" t="inlineStr">
        <x:is>
          <x:t xml:space="preserve">2026-08-05</x:t>
        </x:is>
      </x:c>
      <x:c r="H9" s="83" t="inlineStr">
        <x:is>
          <x:t xml:space="preserve">0000059478-26-000081</x:t>
        </x:is>
      </x:c>
      <x:c r="I9" s="83" t="inlineStr">
        <x:is>
          <x:t xml:space="preserve">us-gaap:NetCashProvidedByUsedInOperatingActivities</x:t>
        </x:is>
      </x:c>
      <x:c r="J9" s="83" t="inlineStr">
        <x:is>
          <x:t xml:space="preserve">Exact tag, USD duration, exact start and end dates, no dimensions</x:t>
        </x:is>
      </x:c>
      <x:c r="K9" s="83" t="inlineStr">
        <x:is>
          <x:t xml:space="preserve">https://www.sec.gov/Archives/edgar/data/59478/000005947826000081/lly-20260630.htm</x:t>
        </x:is>
      </x:c>
      <x:c r="L9" s="83" t="inlineStr">
        <x:is>
          <x:t xml:space="preserve"/>
        </x:is>
      </x:c>
      <x:c r="M9" s="83" t="inlineStr">
        <x:is>
          <x:t xml:space="preserve">c-14</x:t>
        </x:is>
      </x:c>
      <x:c r="N9" s="83" t="n">
        <x:v>6</x:v>
      </x:c>
      <x:c r="O9" s="83" t="inlineStr">
        <x:is>
          <x:t xml:space="preserve">-6</x:t>
        </x:is>
      </x:c>
      <x:c r="P9" s="83" t="inlineStr">
        <x:is>
          <x:t xml:space="preserve">2025-01-01</x:t>
        </x:is>
      </x:c>
      <x:c r="Q9" s="83" t="inlineStr">
        <x:is>
          <x:t xml:space="preserve">Prior year to date</x:t>
        </x:is>
      </x:c>
      <x:c r="R9" s="85" t="n">
        <x:v>-1</x:v>
      </x:c>
    </x:row>
    <x:row r="10" ht="36" customHeight="1">
      <x:c r="A10" s="100" t="inlineStr">
        <x:is>
          <x:t xml:space="preserve">LLY</x:t>
        </x:is>
      </x:c>
      <x:c r="B10" s="83" t="inlineStr">
        <x:is>
          <x:t xml:space="preserve">Purchases of property and equipment</x:t>
        </x:is>
      </x:c>
      <x:c r="C10" s="83" t="inlineStr">
        <x:is>
          <x:t xml:space="preserve">Purchases of property and equipment · fiscal year</x:t>
        </x:is>
      </x:c>
      <x:c r="D10" s="101" t="n">
        <x:v>7841000000</x:v>
      </x:c>
      <x:c r="E10" s="83" t="inlineStr">
        <x:is>
          <x:t xml:space="preserve">2025-12-31</x:t>
        </x:is>
      </x:c>
      <x:c r="F10" s="83" t="inlineStr">
        <x:is>
          <x:t xml:space="preserve">10-K</x:t>
        </x:is>
      </x:c>
      <x:c r="G10" s="83" t="inlineStr">
        <x:is>
          <x:t xml:space="preserve">2026-02-12</x:t>
        </x:is>
      </x:c>
      <x:c r="H10" s="83" t="inlineStr">
        <x:is>
          <x:t xml:space="preserve">0000059478-26-000013</x:t>
        </x:is>
      </x:c>
      <x:c r="I10" s="83" t="inlineStr">
        <x:is>
          <x:t xml:space="preserve">us-gaap:PaymentsToAcquireOtherPropertyPlantAndEquipment</x:t>
        </x:is>
      </x:c>
      <x:c r="J10" s="83" t="inlineStr">
        <x:is>
          <x:t xml:space="preserve">Exact tag, USD duration, exact start and end dates, no dimensions</x:t>
        </x:is>
      </x:c>
      <x:c r="K10" s="83" t="inlineStr">
        <x:is>
          <x:t xml:space="preserve">https://www.sec.gov/Archives/edgar/data/59478/000005947826000013/lly-20251231.htm</x:t>
        </x:is>
      </x:c>
      <x:c r="L10" s="83" t="inlineStr">
        <x:is>
          <x:t xml:space="preserve"/>
        </x:is>
      </x:c>
      <x:c r="M10" s="83" t="inlineStr">
        <x:is>
          <x:t xml:space="preserve">c-1</x:t>
        </x:is>
      </x:c>
      <x:c r="N10" s="83" t="n">
        <x:v>6</x:v>
      </x:c>
      <x:c r="O10" s="83" t="inlineStr">
        <x:is>
          <x:t xml:space="preserve">-6</x:t>
        </x:is>
      </x:c>
      <x:c r="P10" s="83" t="inlineStr">
        <x:is>
          <x:t xml:space="preserve">2025-01-01</x:t>
        </x:is>
      </x:c>
      <x:c r="Q10" s="83" t="inlineStr">
        <x:is>
          <x:t xml:space="preserve">Fiscal year</x:t>
        </x:is>
      </x:c>
      <x:c r="R10" s="85" t="n">
        <x:v>1</x:v>
      </x:c>
    </x:row>
    <x:row r="11" ht="36" customHeight="1">
      <x:c r="A11" s="100" t="inlineStr">
        <x:is>
          <x:t xml:space="preserve">LLY</x:t>
        </x:is>
      </x:c>
      <x:c r="B11" s="83" t="inlineStr">
        <x:is>
          <x:t xml:space="preserve">Purchases of property and equipment</x:t>
        </x:is>
      </x:c>
      <x:c r="C11" s="83" t="inlineStr">
        <x:is>
          <x:t xml:space="preserve">Purchases of property and equipment · current year to date</x:t>
        </x:is>
      </x:c>
      <x:c r="D11" s="101" t="n">
        <x:v>5259000000</x:v>
      </x:c>
      <x:c r="E11" s="83" t="inlineStr">
        <x:is>
          <x:t xml:space="preserve">2026-06-30</x:t>
        </x:is>
      </x:c>
      <x:c r="F11" s="83" t="inlineStr">
        <x:is>
          <x:t xml:space="preserve">10-Q</x:t>
        </x:is>
      </x:c>
      <x:c r="G11" s="83" t="inlineStr">
        <x:is>
          <x:t xml:space="preserve">2026-08-05</x:t>
        </x:is>
      </x:c>
      <x:c r="H11" s="83" t="inlineStr">
        <x:is>
          <x:t xml:space="preserve">0000059478-26-000081</x:t>
        </x:is>
      </x:c>
      <x:c r="I11" s="83" t="inlineStr">
        <x:is>
          <x:t xml:space="preserve">us-gaap:PaymentsToAcquireOtherPropertyPlantAndEquipment</x:t>
        </x:is>
      </x:c>
      <x:c r="J11" s="83" t="inlineStr">
        <x:is>
          <x:t xml:space="preserve">Exact tag, USD duration, exact start and end dates, no dimensions</x:t>
        </x:is>
      </x:c>
      <x:c r="K11" s="83" t="inlineStr">
        <x:is>
          <x:t xml:space="preserve">https://www.sec.gov/Archives/edgar/data/59478/000005947826000081/lly-20260630.htm</x:t>
        </x:is>
      </x:c>
      <x:c r="L11" s="83" t="inlineStr">
        <x:is>
          <x:t xml:space="preserve"/>
        </x:is>
      </x:c>
      <x:c r="M11" s="83" t="inlineStr">
        <x:is>
          <x:t xml:space="preserve">c-1</x:t>
        </x:is>
      </x:c>
      <x:c r="N11" s="83" t="n">
        <x:v>6</x:v>
      </x:c>
      <x:c r="O11" s="83" t="inlineStr">
        <x:is>
          <x:t xml:space="preserve">-6</x:t>
        </x:is>
      </x:c>
      <x:c r="P11" s="83" t="inlineStr">
        <x:is>
          <x:t xml:space="preserve">2026-01-01</x:t>
        </x:is>
      </x:c>
      <x:c r="Q11" s="83" t="inlineStr">
        <x:is>
          <x:t xml:space="preserve">Current year to date</x:t>
        </x:is>
      </x:c>
      <x:c r="R11" s="85" t="n">
        <x:v>1</x:v>
      </x:c>
    </x:row>
    <x:row r="12" ht="36" customHeight="1">
      <x:c r="A12" s="100" t="inlineStr">
        <x:is>
          <x:t xml:space="preserve">LLY</x:t>
        </x:is>
      </x:c>
      <x:c r="B12" s="83" t="inlineStr">
        <x:is>
          <x:t xml:space="preserve">Purchases of property and equipment</x:t>
        </x:is>
      </x:c>
      <x:c r="C12" s="83" t="inlineStr">
        <x:is>
          <x:t xml:space="preserve">Purchases of property and equipment · prior year to date</x:t>
        </x:is>
      </x:c>
      <x:c r="D12" s="101" t="n">
        <x:v>3207000000</x:v>
      </x:c>
      <x:c r="E12" s="83" t="inlineStr">
        <x:is>
          <x:t xml:space="preserve">2025-06-30</x:t>
        </x:is>
      </x:c>
      <x:c r="F12" s="83" t="inlineStr">
        <x:is>
          <x:t xml:space="preserve">10-Q</x:t>
        </x:is>
      </x:c>
      <x:c r="G12" s="83" t="inlineStr">
        <x:is>
          <x:t xml:space="preserve">2026-08-05</x:t>
        </x:is>
      </x:c>
      <x:c r="H12" s="83" t="inlineStr">
        <x:is>
          <x:t xml:space="preserve">0000059478-26-000081</x:t>
        </x:is>
      </x:c>
      <x:c r="I12" s="83" t="inlineStr">
        <x:is>
          <x:t xml:space="preserve">us-gaap:PaymentsToAcquireOtherPropertyPlantAndEquipment</x:t>
        </x:is>
      </x:c>
      <x:c r="J12" s="83" t="inlineStr">
        <x:is>
          <x:t xml:space="preserve">Exact tag, USD duration, exact start and end dates, no dimensions</x:t>
        </x:is>
      </x:c>
      <x:c r="K12" s="83" t="inlineStr">
        <x:is>
          <x:t xml:space="preserve">https://www.sec.gov/Archives/edgar/data/59478/000005947826000081/lly-20260630.htm</x:t>
        </x:is>
      </x:c>
      <x:c r="L12" s="83" t="inlineStr">
        <x:is>
          <x:t xml:space="preserve"/>
        </x:is>
      </x:c>
      <x:c r="M12" s="83" t="inlineStr">
        <x:is>
          <x:t xml:space="preserve">c-14</x:t>
        </x:is>
      </x:c>
      <x:c r="N12" s="83" t="n">
        <x:v>6</x:v>
      </x:c>
      <x:c r="O12" s="83" t="inlineStr">
        <x:is>
          <x:t xml:space="preserve">-6</x:t>
        </x:is>
      </x:c>
      <x:c r="P12" s="83" t="inlineStr">
        <x:is>
          <x:t xml:space="preserve">2025-01-01</x:t>
        </x:is>
      </x:c>
      <x:c r="Q12" s="83" t="inlineStr">
        <x:is>
          <x:t xml:space="preserve">Prior year to date</x:t>
        </x:is>
      </x:c>
      <x:c r="R12" s="85" t="n">
        <x:v>-1</x:v>
      </x:c>
    </x:row>
    <x:row r="13" ht="36" customHeight="1">
      <x:c r="A13" s="100" t="inlineStr">
        <x:is>
          <x:t xml:space="preserve">ORCL</x:t>
        </x:is>
      </x:c>
      <x:c r="B13" s="83" t="inlineStr">
        <x:is>
          <x:t xml:space="preserve">Cash and cash equivalents</x:t>
        </x:is>
      </x:c>
      <x:c r="C13" s="83" t="inlineStr">
        <x:is>
          <x:t xml:space="preserve">Cash and cash equivalents</x:t>
        </x:is>
      </x:c>
      <x:c r="D13" s="101" t="n">
        <x:v>36369000000</x:v>
      </x:c>
      <x:c r="E13" s="83" t="inlineStr">
        <x:is>
          <x:t xml:space="preserve">2026-08-31</x:t>
        </x:is>
      </x:c>
      <x:c r="F13" s="83" t="inlineStr">
        <x:is>
          <x:t xml:space="preserve">10-Q</x:t>
        </x:is>
      </x:c>
      <x:c r="G13" s="83" t="inlineStr">
        <x:is>
          <x:t xml:space="preserve">2026-09-11</x:t>
        </x:is>
      </x:c>
      <x:c r="H13" s="83" t="inlineStr">
        <x:is>
          <x:t xml:space="preserve">0001193125-26-389274</x:t>
        </x:is>
      </x:c>
      <x:c r="I13" s="83" t="inlineStr">
        <x:is>
          <x:t xml:space="preserve">us-gaap:CashAndCashEquivalentsAtCarryingValue</x:t>
        </x:is>
      </x:c>
      <x:c r="J13" s="83" t="inlineStr">
        <x:is>
          <x:t xml:space="preserve">USD instant at the balance-sheet date, from the latest original 10-K or 10-Q itself</x:t>
        </x:is>
      </x:c>
      <x:c r="K13" s="83" t="inlineStr">
        <x:is>
          <x:t xml:space="preserve">https://www.sec.gov/Archives/edgar/data/1341439/000119312526389274/orcl-20260831.htm</x:t>
        </x:is>
      </x:c>
      <x:c r="L13" s="83" t="inlineStr">
        <x:is>
          <x:t xml:space="preserve"/>
        </x:is>
      </x:c>
      <x:c r="M13" s="83" t="n"/>
      <x:c r="N13" s="83" t="n"/>
      <x:c r="O13" s="83" t="n"/>
      <x:c r="P13" s="83" t="n"/>
      <x:c r="Q13" s="83" t="n"/>
      <x:c r="R13" s="85" t="n"/>
    </x:row>
    <x:row r="14" ht="36" customHeight="1">
      <x:c r="A14" s="100" t="inlineStr">
        <x:is>
          <x:t xml:space="preserve">ORCL</x:t>
        </x:is>
      </x:c>
      <x:c r="B14" s="83" t="inlineStr">
        <x:is>
          <x:t xml:space="preserve">Baseline gross debt</x:t>
        </x:is>
      </x:c>
      <x:c r="C14" s="83" t="inlineStr">
        <x:is>
          <x:t xml:space="preserve">Notes payable and other borrowings, current</x:t>
        </x:is>
      </x:c>
      <x:c r="D14" s="101" t="n">
        <x:v>7625000000</x:v>
      </x:c>
      <x:c r="E14" s="83" t="inlineStr">
        <x:is>
          <x:t xml:space="preserve">2026-08-31</x:t>
        </x:is>
      </x:c>
      <x:c r="F14" s="83" t="inlineStr">
        <x:is>
          <x:t xml:space="preserve">10-Q</x:t>
        </x:is>
      </x:c>
      <x:c r="G14" s="83" t="inlineStr">
        <x:is>
          <x:t xml:space="preserve">2026-09-11</x:t>
        </x:is>
      </x:c>
      <x:c r="H14" s="83" t="inlineStr">
        <x:is>
          <x:t xml:space="preserve">0001193125-26-389274</x:t>
        </x:is>
      </x:c>
      <x:c r="I14" s="83" t="inlineStr">
        <x:is>
          <x:t xml:space="preserve">us-gaap:NotesPayableCurrent</x:t>
        </x:is>
      </x:c>
      <x:c r="J14" s="83" t="inlineStr">
        <x:is>
          <x:t xml:space="preserve">USD instant at the balance-sheet date, from the latest original 10-K or 10-Q itself</x:t>
        </x:is>
      </x:c>
      <x:c r="K14" s="83" t="inlineStr">
        <x:is>
          <x:t xml:space="preserve">https://www.sec.gov/Archives/edgar/data/1341439/000119312526389274/orcl-20260831.htm</x:t>
        </x:is>
      </x:c>
      <x:c r="L14" s="83" t="inlineStr">
        <x:is>
          <x:t xml:space="preserve"/>
        </x:is>
      </x:c>
      <x:c r="M14" s="83" t="n"/>
      <x:c r="N14" s="83" t="n"/>
      <x:c r="O14" s="83" t="n"/>
      <x:c r="P14" s="83" t="n"/>
      <x:c r="Q14" s="83" t="n"/>
      <x:c r="R14" s="85" t="n"/>
    </x:row>
    <x:row r="15" ht="36" customHeight="1">
      <x:c r="A15" s="100" t="inlineStr">
        <x:is>
          <x:t xml:space="preserve">ORCL</x:t>
        </x:is>
      </x:c>
      <x:c r="B15" s="83" t="inlineStr">
        <x:is>
          <x:t xml:space="preserve">Baseline gross debt</x:t>
        </x:is>
      </x:c>
      <x:c r="C15" s="83" t="inlineStr">
        <x:is>
          <x:t xml:space="preserve">Notes payable and other borrowings, non-current</x:t>
        </x:is>
      </x:c>
      <x:c r="D15" s="101" t="n">
        <x:v>117712000000</x:v>
      </x:c>
      <x:c r="E15" s="83" t="inlineStr">
        <x:is>
          <x:t xml:space="preserve">2026-08-31</x:t>
        </x:is>
      </x:c>
      <x:c r="F15" s="83" t="inlineStr">
        <x:is>
          <x:t xml:space="preserve">10-Q</x:t>
        </x:is>
      </x:c>
      <x:c r="G15" s="83" t="inlineStr">
        <x:is>
          <x:t xml:space="preserve">2026-09-11</x:t>
        </x:is>
      </x:c>
      <x:c r="H15" s="83" t="inlineStr">
        <x:is>
          <x:t xml:space="preserve">0001193125-26-389274</x:t>
        </x:is>
      </x:c>
      <x:c r="I15" s="83" t="inlineStr">
        <x:is>
          <x:t xml:space="preserve">us-gaap:LongTermNotesAndLoans</x:t>
        </x:is>
      </x:c>
      <x:c r="J15" s="83" t="inlineStr">
        <x:is>
          <x:t xml:space="preserve">USD instant at the balance-sheet date, from the latest original 10-K or 10-Q itself</x:t>
        </x:is>
      </x:c>
      <x:c r="K15" s="83" t="inlineStr">
        <x:is>
          <x:t xml:space="preserve">https://www.sec.gov/Archives/edgar/data/1341439/000119312526389274/orcl-20260831.htm</x:t>
        </x:is>
      </x:c>
      <x:c r="L15" s="83" t="inlineStr">
        <x:is>
          <x:t xml:space="preserve"/>
        </x:is>
      </x:c>
      <x:c r="M15" s="83" t="n"/>
      <x:c r="N15" s="83" t="n"/>
      <x:c r="O15" s="83" t="n"/>
      <x:c r="P15" s="83" t="n"/>
      <x:c r="Q15" s="83" t="n"/>
      <x:c r="R15" s="85" t="n"/>
    </x:row>
    <x:row r="16" ht="36" customHeight="1">
      <x:c r="A16" s="100" t="inlineStr">
        <x:is>
          <x:t xml:space="preserve">ORCL</x:t>
        </x:is>
      </x:c>
      <x:c r="B16" s="83" t="inlineStr">
        <x:is>
          <x:t xml:space="preserve">Current ratio</x:t>
        </x:is>
      </x:c>
      <x:c r="C16" s="83" t="inlineStr">
        <x:is>
          <x:t xml:space="preserve">Current assets</x:t>
        </x:is>
      </x:c>
      <x:c r="D16" s="101" t="n">
        <x:v>55630000000</x:v>
      </x:c>
      <x:c r="E16" s="83" t="inlineStr">
        <x:is>
          <x:t xml:space="preserve">2026-08-31</x:t>
        </x:is>
      </x:c>
      <x:c r="F16" s="83" t="inlineStr">
        <x:is>
          <x:t xml:space="preserve">10-Q</x:t>
        </x:is>
      </x:c>
      <x:c r="G16" s="83" t="inlineStr">
        <x:is>
          <x:t xml:space="preserve">2026-09-11</x:t>
        </x:is>
      </x:c>
      <x:c r="H16" s="83" t="inlineStr">
        <x:is>
          <x:t xml:space="preserve">0001193125-26-389274</x:t>
        </x:is>
      </x:c>
      <x:c r="I16" s="83" t="inlineStr">
        <x:is>
          <x:t xml:space="preserve">us-gaap:AssetsCurrent</x:t>
        </x:is>
      </x:c>
      <x:c r="J16" s="83" t="inlineStr">
        <x:is>
          <x:t xml:space="preserve">USD instant at the balance-sheet date, from the latest original 10-K or 10-Q itself</x:t>
        </x:is>
      </x:c>
      <x:c r="K16" s="83" t="inlineStr">
        <x:is>
          <x:t xml:space="preserve">https://www.sec.gov/Archives/edgar/data/1341439/000119312526389274/orcl-20260831.htm</x:t>
        </x:is>
      </x:c>
      <x:c r="L16" s="83" t="inlineStr">
        <x:is>
          <x:t xml:space="preserve"/>
        </x:is>
      </x:c>
      <x:c r="M16" s="83" t="n"/>
      <x:c r="N16" s="83" t="n"/>
      <x:c r="O16" s="83" t="n"/>
      <x:c r="P16" s="83" t="n"/>
      <x:c r="Q16" s="83" t="n"/>
      <x:c r="R16" s="85" t="n"/>
    </x:row>
    <x:row r="17" ht="36" customHeight="1">
      <x:c r="A17" s="100" t="inlineStr">
        <x:is>
          <x:t xml:space="preserve">ORCL</x:t>
        </x:is>
      </x:c>
      <x:c r="B17" s="83" t="inlineStr">
        <x:is>
          <x:t xml:space="preserve">Current ratio</x:t>
        </x:is>
      </x:c>
      <x:c r="C17" s="83" t="inlineStr">
        <x:is>
          <x:t xml:space="preserve">Current liabilities</x:t>
        </x:is>
      </x:c>
      <x:c r="D17" s="101" t="n">
        <x:v>47514000000</x:v>
      </x:c>
      <x:c r="E17" s="83" t="inlineStr">
        <x:is>
          <x:t xml:space="preserve">2026-08-31</x:t>
        </x:is>
      </x:c>
      <x:c r="F17" s="83" t="inlineStr">
        <x:is>
          <x:t xml:space="preserve">10-Q</x:t>
        </x:is>
      </x:c>
      <x:c r="G17" s="83" t="inlineStr">
        <x:is>
          <x:t xml:space="preserve">2026-09-11</x:t>
        </x:is>
      </x:c>
      <x:c r="H17" s="83" t="inlineStr">
        <x:is>
          <x:t xml:space="preserve">0001193125-26-389274</x:t>
        </x:is>
      </x:c>
      <x:c r="I17" s="83" t="inlineStr">
        <x:is>
          <x:t xml:space="preserve">us-gaap:LiabilitiesCurrent</x:t>
        </x:is>
      </x:c>
      <x:c r="J17" s="83" t="inlineStr">
        <x:is>
          <x:t xml:space="preserve">USD instant at the balance-sheet date, from the latest original 10-K or 10-Q itself</x:t>
        </x:is>
      </x:c>
      <x:c r="K17" s="83" t="inlineStr">
        <x:is>
          <x:t xml:space="preserve">https://www.sec.gov/Archives/edgar/data/1341439/000119312526389274/orcl-20260831.htm</x:t>
        </x:is>
      </x:c>
      <x:c r="L17" s="83" t="inlineStr">
        <x:is>
          <x:t xml:space="preserve"/>
        </x:is>
      </x:c>
      <x:c r="M17" s="83" t="n"/>
      <x:c r="N17" s="83" t="n"/>
      <x:c r="O17" s="83" t="n"/>
      <x:c r="P17" s="83" t="n"/>
      <x:c r="Q17" s="83" t="n"/>
      <x:c r="R17" s="85" t="n"/>
    </x:row>
    <x:row r="18" ht="36" customHeight="1">
      <x:c r="A18" s="100" t="inlineStr">
        <x:is>
          <x:t xml:space="preserve">ORCL</x:t>
        </x:is>
      </x:c>
      <x:c r="B18" s="83" t="inlineStr">
        <x:is>
          <x:t xml:space="preserve">Operating cash flow</x:t>
        </x:is>
      </x:c>
      <x:c r="C18" s="83" t="inlineStr">
        <x:is>
          <x:t xml:space="preserve">Operating cash flow · fiscal year</x:t>
        </x:is>
      </x:c>
      <x:c r="D18" s="101" t="n">
        <x:v>31977000000</x:v>
      </x:c>
      <x:c r="E18" s="83" t="inlineStr">
        <x:is>
          <x:t xml:space="preserve">2026-05-31</x:t>
        </x:is>
      </x:c>
      <x:c r="F18" s="83" t="inlineStr">
        <x:is>
          <x:t xml:space="preserve">10-K</x:t>
        </x:is>
      </x:c>
      <x:c r="G18" s="83" t="inlineStr">
        <x:is>
          <x:t xml:space="preserve">2026-06-22</x:t>
        </x:is>
      </x:c>
      <x:c r="H18" s="83" t="inlineStr">
        <x:is>
          <x:t xml:space="preserve">0001193125-26-277521</x:t>
        </x:is>
      </x:c>
      <x:c r="I18" s="83" t="inlineStr">
        <x:is>
          <x:t xml:space="preserve">us-gaap:NetCashProvidedByUsedInOperatingActivities</x:t>
        </x:is>
      </x:c>
      <x:c r="J18" s="83" t="inlineStr">
        <x:is>
          <x:t xml:space="preserve">Exact tag, USD duration, exact start and end dates, no dimensions</x:t>
        </x:is>
      </x:c>
      <x:c r="K18" s="83" t="inlineStr">
        <x:is>
          <x:t xml:space="preserve">https://www.sec.gov/Archives/edgar/data/1341439/000119312526277521/orcl-20260531.htm</x:t>
        </x:is>
      </x:c>
      <x:c r="L18" s="83" t="inlineStr">
        <x:is>
          <x:t xml:space="preserve"/>
        </x:is>
      </x:c>
      <x:c r="M18" s="83" t="inlineStr">
        <x:is>
          <x:t xml:space="preserve">C_24317829-d237-4c29-bae3-2e46dd1ae625</x:t>
        </x:is>
      </x:c>
      <x:c r="N18" s="83" t="n">
        <x:v>6</x:v>
      </x:c>
      <x:c r="O18" s="83" t="inlineStr">
        <x:is>
          <x:t xml:space="preserve">-6</x:t>
        </x:is>
      </x:c>
      <x:c r="P18" s="83" t="inlineStr">
        <x:is>
          <x:t xml:space="preserve">2025-06-01</x:t>
        </x:is>
      </x:c>
      <x:c r="Q18" s="83" t="inlineStr">
        <x:is>
          <x:t xml:space="preserve">Fiscal year</x:t>
        </x:is>
      </x:c>
      <x:c r="R18" s="85" t="n">
        <x:v>1</x:v>
      </x:c>
    </x:row>
    <x:row r="19" ht="36" customHeight="1">
      <x:c r="A19" s="100" t="inlineStr">
        <x:is>
          <x:t xml:space="preserve">ORCL</x:t>
        </x:is>
      </x:c>
      <x:c r="B19" s="83" t="inlineStr">
        <x:is>
          <x:t xml:space="preserve">Operating cash flow</x:t>
        </x:is>
      </x:c>
      <x:c r="C19" s="83" t="inlineStr">
        <x:is>
          <x:t xml:space="preserve">Operating cash flow · current year to date</x:t>
        </x:is>
      </x:c>
      <x:c r="D19" s="101" t="n">
        <x:v>23103000000</x:v>
      </x:c>
      <x:c r="E19" s="83" t="inlineStr">
        <x:is>
          <x:t xml:space="preserve">2026-08-31</x:t>
        </x:is>
      </x:c>
      <x:c r="F19" s="83" t="inlineStr">
        <x:is>
          <x:t xml:space="preserve">10-Q</x:t>
        </x:is>
      </x:c>
      <x:c r="G19" s="83" t="inlineStr">
        <x:is>
          <x:t xml:space="preserve">2026-09-11</x:t>
        </x:is>
      </x:c>
      <x:c r="H19" s="83" t="inlineStr">
        <x:is>
          <x:t xml:space="preserve">0001193125-26-389274</x:t>
        </x:is>
      </x:c>
      <x:c r="I19" s="83" t="inlineStr">
        <x:is>
          <x:t xml:space="preserve">us-gaap:NetCashProvidedByUsedInOperatingActivities</x:t>
        </x:is>
      </x:c>
      <x:c r="J19" s="83" t="inlineStr">
        <x:is>
          <x:t xml:space="preserve">Exact tag, USD duration, exact start and end dates, no dimensions</x:t>
        </x:is>
      </x:c>
      <x:c r="K19" s="83" t="inlineStr">
        <x:is>
          <x:t xml:space="preserve">https://www.sec.gov/Archives/edgar/data/1341439/000119312526389274/orcl-20260831.htm</x:t>
        </x:is>
      </x:c>
      <x:c r="L19" s="83" t="inlineStr">
        <x:is>
          <x:t xml:space="preserve"/>
        </x:is>
      </x:c>
      <x:c r="M19" s="83" t="inlineStr">
        <x:is>
          <x:t xml:space="preserve">C_f2f9ad85-08df-4e59-8948-bfd9405570de</x:t>
        </x:is>
      </x:c>
      <x:c r="N19" s="83" t="n">
        <x:v>6</x:v>
      </x:c>
      <x:c r="O19" s="83" t="inlineStr">
        <x:is>
          <x:t xml:space="preserve">-6</x:t>
        </x:is>
      </x:c>
      <x:c r="P19" s="83" t="inlineStr">
        <x:is>
          <x:t xml:space="preserve">2026-06-01</x:t>
        </x:is>
      </x:c>
      <x:c r="Q19" s="83" t="inlineStr">
        <x:is>
          <x:t xml:space="preserve">Current year to date</x:t>
        </x:is>
      </x:c>
      <x:c r="R19" s="85" t="n">
        <x:v>1</x:v>
      </x:c>
    </x:row>
    <x:row r="20" ht="36" customHeight="1">
      <x:c r="A20" s="100" t="inlineStr">
        <x:is>
          <x:t xml:space="preserve">ORCL</x:t>
        </x:is>
      </x:c>
      <x:c r="B20" s="83" t="inlineStr">
        <x:is>
          <x:t xml:space="preserve">Operating cash flow</x:t>
        </x:is>
      </x:c>
      <x:c r="C20" s="83" t="inlineStr">
        <x:is>
          <x:t xml:space="preserve">Operating cash flow · prior year to date</x:t>
        </x:is>
      </x:c>
      <x:c r="D20" s="101" t="n">
        <x:v>8140000000</x:v>
      </x:c>
      <x:c r="E20" s="83" t="inlineStr">
        <x:is>
          <x:t xml:space="preserve">2025-08-31</x:t>
        </x:is>
      </x:c>
      <x:c r="F20" s="83" t="inlineStr">
        <x:is>
          <x:t xml:space="preserve">10-Q</x:t>
        </x:is>
      </x:c>
      <x:c r="G20" s="83" t="inlineStr">
        <x:is>
          <x:t xml:space="preserve">2026-09-11</x:t>
        </x:is>
      </x:c>
      <x:c r="H20" s="83" t="inlineStr">
        <x:is>
          <x:t xml:space="preserve">0001193125-26-389274</x:t>
        </x:is>
      </x:c>
      <x:c r="I20" s="83" t="inlineStr">
        <x:is>
          <x:t xml:space="preserve">us-gaap:NetCashProvidedByUsedInOperatingActivities</x:t>
        </x:is>
      </x:c>
      <x:c r="J20" s="83" t="inlineStr">
        <x:is>
          <x:t xml:space="preserve">Exact tag, USD duration, exact start and end dates, no dimensions</x:t>
        </x:is>
      </x:c>
      <x:c r="K20" s="83" t="inlineStr">
        <x:is>
          <x:t xml:space="preserve">https://www.sec.gov/Archives/edgar/data/1341439/000119312526389274/orcl-20260831.htm</x:t>
        </x:is>
      </x:c>
      <x:c r="L20" s="83" t="inlineStr">
        <x:is>
          <x:t xml:space="preserve"/>
        </x:is>
      </x:c>
      <x:c r="M20" s="83" t="inlineStr">
        <x:is>
          <x:t xml:space="preserve">C_a0bdcecc-b2bf-40f4-8106-f50197737571</x:t>
        </x:is>
      </x:c>
      <x:c r="N20" s="83" t="n">
        <x:v>6</x:v>
      </x:c>
      <x:c r="O20" s="83" t="inlineStr">
        <x:is>
          <x:t xml:space="preserve">-6</x:t>
        </x:is>
      </x:c>
      <x:c r="P20" s="83" t="inlineStr">
        <x:is>
          <x:t xml:space="preserve">2025-06-01</x:t>
        </x:is>
      </x:c>
      <x:c r="Q20" s="83" t="inlineStr">
        <x:is>
          <x:t xml:space="preserve">Prior year to date</x:t>
        </x:is>
      </x:c>
      <x:c r="R20" s="85" t="n">
        <x:v>-1</x:v>
      </x:c>
    </x:row>
    <x:row r="21" ht="36" customHeight="1">
      <x:c r="A21" s="100" t="inlineStr">
        <x:is>
          <x:t xml:space="preserve">ORCL</x:t>
        </x:is>
      </x:c>
      <x:c r="B21" s="83" t="inlineStr">
        <x:is>
          <x:t xml:space="preserve">Capital expenditures</x:t>
        </x:is>
      </x:c>
      <x:c r="C21" s="83" t="inlineStr">
        <x:is>
          <x:t xml:space="preserve">Capital expenditures · fiscal year</x:t>
        </x:is>
      </x:c>
      <x:c r="D21" s="101" t="n">
        <x:v>55663000000</x:v>
      </x:c>
      <x:c r="E21" s="83" t="inlineStr">
        <x:is>
          <x:t xml:space="preserve">2026-05-31</x:t>
        </x:is>
      </x:c>
      <x:c r="F21" s="83" t="inlineStr">
        <x:is>
          <x:t xml:space="preserve">10-K</x:t>
        </x:is>
      </x:c>
      <x:c r="G21" s="83" t="inlineStr">
        <x:is>
          <x:t xml:space="preserve">2026-06-22</x:t>
        </x:is>
      </x:c>
      <x:c r="H21" s="83" t="inlineStr">
        <x:is>
          <x:t xml:space="preserve">0001193125-26-277521</x:t>
        </x:is>
      </x:c>
      <x:c r="I21" s="83" t="inlineStr">
        <x:is>
          <x:t xml:space="preserve">us-gaap:PaymentsToAcquirePropertyPlantAndEquipment</x:t>
        </x:is>
      </x:c>
      <x:c r="J21" s="83" t="inlineStr">
        <x:is>
          <x:t xml:space="preserve">Exact tag, USD duration, exact start and end dates, no dimensions</x:t>
        </x:is>
      </x:c>
      <x:c r="K21" s="83" t="inlineStr">
        <x:is>
          <x:t xml:space="preserve">https://www.sec.gov/Archives/edgar/data/1341439/000119312526277521/orcl-20260531.htm</x:t>
        </x:is>
      </x:c>
      <x:c r="L21" s="83" t="inlineStr">
        <x:is>
          <x:t xml:space="preserve"/>
        </x:is>
      </x:c>
      <x:c r="M21" s="83" t="inlineStr">
        <x:is>
          <x:t xml:space="preserve">C_24317829-d237-4c29-bae3-2e46dd1ae625</x:t>
        </x:is>
      </x:c>
      <x:c r="N21" s="83" t="n">
        <x:v>6</x:v>
      </x:c>
      <x:c r="O21" s="83" t="inlineStr">
        <x:is>
          <x:t xml:space="preserve">-6</x:t>
        </x:is>
      </x:c>
      <x:c r="P21" s="83" t="inlineStr">
        <x:is>
          <x:t xml:space="preserve">2025-06-01</x:t>
        </x:is>
      </x:c>
      <x:c r="Q21" s="83" t="inlineStr">
        <x:is>
          <x:t xml:space="preserve">Fiscal year</x:t>
        </x:is>
      </x:c>
      <x:c r="R21" s="85" t="n">
        <x:v>1</x:v>
      </x:c>
    </x:row>
    <x:row r="22" ht="36" customHeight="1">
      <x:c r="A22" s="100" t="inlineStr">
        <x:is>
          <x:t xml:space="preserve">ORCL</x:t>
        </x:is>
      </x:c>
      <x:c r="B22" s="83" t="inlineStr">
        <x:is>
          <x:t xml:space="preserve">Capital expenditures</x:t>
        </x:is>
      </x:c>
      <x:c r="C22" s="83" t="inlineStr">
        <x:is>
          <x:t xml:space="preserve">Capital expenditures · current year to date</x:t>
        </x:is>
      </x:c>
      <x:c r="D22" s="101" t="n">
        <x:v>28499000000</x:v>
      </x:c>
      <x:c r="E22" s="83" t="inlineStr">
        <x:is>
          <x:t xml:space="preserve">2026-08-31</x:t>
        </x:is>
      </x:c>
      <x:c r="F22" s="83" t="inlineStr">
        <x:is>
          <x:t xml:space="preserve">10-Q</x:t>
        </x:is>
      </x:c>
      <x:c r="G22" s="83" t="inlineStr">
        <x:is>
          <x:t xml:space="preserve">2026-09-11</x:t>
        </x:is>
      </x:c>
      <x:c r="H22" s="83" t="inlineStr">
        <x:is>
          <x:t xml:space="preserve">0001193125-26-389274</x:t>
        </x:is>
      </x:c>
      <x:c r="I22" s="83" t="inlineStr">
        <x:is>
          <x:t xml:space="preserve">us-gaap:PaymentsToAcquirePropertyPlantAndEquipment</x:t>
        </x:is>
      </x:c>
      <x:c r="J22" s="83" t="inlineStr">
        <x:is>
          <x:t xml:space="preserve">Exact tag, USD duration, exact start and end dates, no dimensions</x:t>
        </x:is>
      </x:c>
      <x:c r="K22" s="83" t="inlineStr">
        <x:is>
          <x:t xml:space="preserve">https://www.sec.gov/Archives/edgar/data/1341439/000119312526389274/orcl-20260831.htm</x:t>
        </x:is>
      </x:c>
      <x:c r="L22" s="83" t="inlineStr">
        <x:is>
          <x:t xml:space="preserve"/>
        </x:is>
      </x:c>
      <x:c r="M22" s="83" t="inlineStr">
        <x:is>
          <x:t xml:space="preserve">C_f2f9ad85-08df-4e59-8948-bfd9405570de</x:t>
        </x:is>
      </x:c>
      <x:c r="N22" s="83" t="n">
        <x:v>6</x:v>
      </x:c>
      <x:c r="O22" s="83" t="inlineStr">
        <x:is>
          <x:t xml:space="preserve">-6</x:t>
        </x:is>
      </x:c>
      <x:c r="P22" s="83" t="inlineStr">
        <x:is>
          <x:t xml:space="preserve">2026-06-01</x:t>
        </x:is>
      </x:c>
      <x:c r="Q22" s="83" t="inlineStr">
        <x:is>
          <x:t xml:space="preserve">Current year to date</x:t>
        </x:is>
      </x:c>
      <x:c r="R22" s="85" t="n">
        <x:v>1</x:v>
      </x:c>
    </x:row>
    <x:row r="23" ht="36" customHeight="1">
      <x:c r="A23" s="100" t="inlineStr">
        <x:is>
          <x:t xml:space="preserve">ORCL</x:t>
        </x:is>
      </x:c>
      <x:c r="B23" s="83" t="inlineStr">
        <x:is>
          <x:t xml:space="preserve">Capital expenditures</x:t>
        </x:is>
      </x:c>
      <x:c r="C23" s="83" t="inlineStr">
        <x:is>
          <x:t xml:space="preserve">Capital expenditures · prior year to date</x:t>
        </x:is>
      </x:c>
      <x:c r="D23" s="101" t="n">
        <x:v>8502000000</x:v>
      </x:c>
      <x:c r="E23" s="83" t="inlineStr">
        <x:is>
          <x:t xml:space="preserve">2025-08-31</x:t>
        </x:is>
      </x:c>
      <x:c r="F23" s="83" t="inlineStr">
        <x:is>
          <x:t xml:space="preserve">10-Q</x:t>
        </x:is>
      </x:c>
      <x:c r="G23" s="83" t="inlineStr">
        <x:is>
          <x:t xml:space="preserve">2026-09-11</x:t>
        </x:is>
      </x:c>
      <x:c r="H23" s="83" t="inlineStr">
        <x:is>
          <x:t xml:space="preserve">0001193125-26-389274</x:t>
        </x:is>
      </x:c>
      <x:c r="I23" s="83" t="inlineStr">
        <x:is>
          <x:t xml:space="preserve">us-gaap:PaymentsToAcquirePropertyPlantAndEquipment</x:t>
        </x:is>
      </x:c>
      <x:c r="J23" s="83" t="inlineStr">
        <x:is>
          <x:t xml:space="preserve">Exact tag, USD duration, exact start and end dates, no dimensions</x:t>
        </x:is>
      </x:c>
      <x:c r="K23" s="83" t="inlineStr">
        <x:is>
          <x:t xml:space="preserve">https://www.sec.gov/Archives/edgar/data/1341439/000119312526389274/orcl-20260831.htm</x:t>
        </x:is>
      </x:c>
      <x:c r="L23" s="83" t="inlineStr">
        <x:is>
          <x:t xml:space="preserve"/>
        </x:is>
      </x:c>
      <x:c r="M23" s="83" t="inlineStr">
        <x:is>
          <x:t xml:space="preserve">C_a0bdcecc-b2bf-40f4-8106-f50197737571</x:t>
        </x:is>
      </x:c>
      <x:c r="N23" s="83" t="n">
        <x:v>6</x:v>
      </x:c>
      <x:c r="O23" s="83" t="inlineStr">
        <x:is>
          <x:t xml:space="preserve">-6</x:t>
        </x:is>
      </x:c>
      <x:c r="P23" s="83" t="inlineStr">
        <x:is>
          <x:t xml:space="preserve">2025-06-01</x:t>
        </x:is>
      </x:c>
      <x:c r="Q23" s="83" t="inlineStr">
        <x:is>
          <x:t xml:space="preserve">Prior year to date</x:t>
        </x:is>
      </x:c>
      <x:c r="R23" s="85" t="n">
        <x:v>-1</x:v>
      </x:c>
    </x:row>
    <x:row r="24" ht="36" customHeight="1">
      <x:c r="A24" s="100" t="inlineStr">
        <x:is>
          <x:t xml:space="preserve">VST</x:t>
        </x:is>
      </x:c>
      <x:c r="B24" s="83" t="inlineStr">
        <x:is>
          <x:t xml:space="preserve">Cash and cash equivalents</x:t>
        </x:is>
      </x:c>
      <x:c r="C24" s="83" t="inlineStr">
        <x:is>
          <x:t xml:space="preserve">Cash and cash equivalents</x:t>
        </x:is>
      </x:c>
      <x:c r="D24" s="101" t="n">
        <x:v>435000000</x:v>
      </x:c>
      <x:c r="E24" s="83" t="inlineStr">
        <x:is>
          <x:t xml:space="preserve">2026-06-30</x:t>
        </x:is>
      </x:c>
      <x:c r="F24" s="83" t="inlineStr">
        <x:is>
          <x:t xml:space="preserve">10-Q</x:t>
        </x:is>
      </x:c>
      <x:c r="G24" s="83" t="inlineStr">
        <x:is>
          <x:t xml:space="preserve">2026-08-10</x:t>
        </x:is>
      </x:c>
      <x:c r="H24" s="83" t="inlineStr">
        <x:is>
          <x:t xml:space="preserve">0001692819-26-000019</x:t>
        </x:is>
      </x:c>
      <x:c r="I24" s="83" t="inlineStr">
        <x:is>
          <x:t xml:space="preserve">us-gaap:CashAndCashEquivalentsAtCarryingValue</x:t>
        </x:is>
      </x:c>
      <x:c r="J24" s="83" t="inlineStr">
        <x:is>
          <x:t xml:space="preserve">USD instant at the balance-sheet date, from the latest original 10-K or 10-Q itself</x:t>
        </x:is>
      </x:c>
      <x:c r="K24" s="83" t="inlineStr">
        <x:is>
          <x:t xml:space="preserve">https://www.sec.gov/Archives/edgar/data/1692819/000169281926000019/vistra-20260630.htm</x:t>
        </x:is>
      </x:c>
      <x:c r="L24" s="83" t="inlineStr">
        <x:is>
          <x:t xml:space="preserve"/>
        </x:is>
      </x:c>
      <x:c r="M24" s="83" t="n"/>
      <x:c r="N24" s="83" t="n"/>
      <x:c r="O24" s="83" t="n"/>
      <x:c r="P24" s="83" t="n"/>
      <x:c r="Q24" s="83" t="n"/>
      <x:c r="R24" s="85" t="n"/>
    </x:row>
    <x:row r="25" ht="36" customHeight="1">
      <x:c r="A25" s="100" t="inlineStr">
        <x:is>
          <x:t xml:space="preserve">VST</x:t>
        </x:is>
      </x:c>
      <x:c r="B25" s="83" t="inlineStr">
        <x:is>
          <x:t xml:space="preserve">Baseline gross debt</x:t>
        </x:is>
      </x:c>
      <x:c r="C25" s="83" t="inlineStr">
        <x:is>
          <x:t xml:space="preserve">Long-term debt due currently</x:t>
        </x:is>
      </x:c>
      <x:c r="D25" s="101" t="n">
        <x:v>1876000000</x:v>
      </x:c>
      <x:c r="E25" s="83" t="inlineStr">
        <x:is>
          <x:t xml:space="preserve">2026-06-30</x:t>
        </x:is>
      </x:c>
      <x:c r="F25" s="83" t="inlineStr">
        <x:is>
          <x:t xml:space="preserve">10-Q</x:t>
        </x:is>
      </x:c>
      <x:c r="G25" s="83" t="inlineStr">
        <x:is>
          <x:t xml:space="preserve">2026-08-10</x:t>
        </x:is>
      </x:c>
      <x:c r="H25" s="83" t="inlineStr">
        <x:is>
          <x:t xml:space="preserve">0001692819-26-000019</x:t>
        </x:is>
      </x:c>
      <x:c r="I25" s="83" t="inlineStr">
        <x:is>
          <x:t xml:space="preserve">us-gaap:LongTermDebtAndCapitalLeaseObligationsCurrent</x:t>
        </x:is>
      </x:c>
      <x:c r="J25" s="83" t="inlineStr">
        <x:is>
          <x:t xml:space="preserve">USD instant at the balance-sheet date, from the latest original 10-K or 10-Q itself</x:t>
        </x:is>
      </x:c>
      <x:c r="K25" s="83" t="inlineStr">
        <x:is>
          <x:t xml:space="preserve">https://www.sec.gov/Archives/edgar/data/1692819/000169281926000019/vistra-20260630.htm</x:t>
        </x:is>
      </x:c>
      <x:c r="L25" s="83" t="inlineStr">
        <x:is>
          <x:t xml:space="preserve"/>
        </x:is>
      </x:c>
      <x:c r="M25" s="83" t="n"/>
      <x:c r="N25" s="83" t="n"/>
      <x:c r="O25" s="83" t="n"/>
      <x:c r="P25" s="83" t="n"/>
      <x:c r="Q25" s="83" t="n"/>
      <x:c r="R25" s="85" t="n"/>
    </x:row>
    <x:row r="26" ht="36" customHeight="1">
      <x:c r="A26" s="100" t="inlineStr">
        <x:is>
          <x:t xml:space="preserve">VST</x:t>
        </x:is>
      </x:c>
      <x:c r="B26" s="83" t="inlineStr">
        <x:is>
          <x:t xml:space="preserve">Baseline gross debt</x:t>
        </x:is>
      </x:c>
      <x:c r="C26" s="83" t="inlineStr">
        <x:is>
          <x:t xml:space="preserve">Long-term debt, less amounts due currently</x:t>
        </x:is>
      </x:c>
      <x:c r="D26" s="101" t="n">
        <x:v>17719000000</x:v>
      </x:c>
      <x:c r="E26" s="83" t="inlineStr">
        <x:is>
          <x:t xml:space="preserve">2026-06-30</x:t>
        </x:is>
      </x:c>
      <x:c r="F26" s="83" t="inlineStr">
        <x:is>
          <x:t xml:space="preserve">10-Q</x:t>
        </x:is>
      </x:c>
      <x:c r="G26" s="83" t="inlineStr">
        <x:is>
          <x:t xml:space="preserve">2026-08-10</x:t>
        </x:is>
      </x:c>
      <x:c r="H26" s="83" t="inlineStr">
        <x:is>
          <x:t xml:space="preserve">0001692819-26-000019</x:t>
        </x:is>
      </x:c>
      <x:c r="I26" s="83" t="inlineStr">
        <x:is>
          <x:t xml:space="preserve">us-gaap:LongTermDebtAndCapitalLeaseObligations</x:t>
        </x:is>
      </x:c>
      <x:c r="J26" s="83" t="inlineStr">
        <x:is>
          <x:t xml:space="preserve">USD instant at the balance-sheet date, from the latest original 10-K or 10-Q itself</x:t>
        </x:is>
      </x:c>
      <x:c r="K26" s="83" t="inlineStr">
        <x:is>
          <x:t xml:space="preserve">https://www.sec.gov/Archives/edgar/data/1692819/000169281926000019/vistra-20260630.htm</x:t>
        </x:is>
      </x:c>
      <x:c r="L26" s="83" t="inlineStr">
        <x:is>
          <x:t xml:space="preserve"/>
        </x:is>
      </x:c>
      <x:c r="M26" s="83" t="n"/>
      <x:c r="N26" s="83" t="n"/>
      <x:c r="O26" s="83" t="n"/>
      <x:c r="P26" s="83" t="n"/>
      <x:c r="Q26" s="83" t="n"/>
      <x:c r="R26" s="85" t="n"/>
    </x:row>
    <x:row r="27" ht="36" customHeight="1">
      <x:c r="A27" s="100" t="inlineStr">
        <x:is>
          <x:t xml:space="preserve">VST</x:t>
        </x:is>
      </x:c>
      <x:c r="B27" s="83" t="inlineStr">
        <x:is>
          <x:t xml:space="preserve">Baseline gross debt</x:t>
        </x:is>
      </x:c>
      <x:c r="C27" s="83" t="inlineStr">
        <x:is>
          <x:t xml:space="preserve">Short-term borrowings</x:t>
        </x:is>
      </x:c>
      <x:c r="D27" s="101" t="n">
        <x:v>0</x:v>
      </x:c>
      <x:c r="E27" s="83" t="inlineStr">
        <x:is>
          <x:t xml:space="preserve">2026-06-30</x:t>
        </x:is>
      </x:c>
      <x:c r="F27" s="83" t="inlineStr">
        <x:is>
          <x:t xml:space="preserve">10-Q</x:t>
        </x:is>
      </x:c>
      <x:c r="G27" s="83" t="inlineStr">
        <x:is>
          <x:t xml:space="preserve">2026-08-10</x:t>
        </x:is>
      </x:c>
      <x:c r="H27" s="83" t="inlineStr">
        <x:is>
          <x:t xml:space="preserve">0001692819-26-000019</x:t>
        </x:is>
      </x:c>
      <x:c r="I27" s="83" t="inlineStr">
        <x:is>
          <x:t xml:space="preserve">us-gaap:ShortTermBorrowings</x:t>
        </x:is>
      </x:c>
      <x:c r="J27" s="83" t="inlineStr">
        <x:is>
          <x:t xml:space="preserve">USD instant at the balance-sheet date, from the latest original 10-K or 10-Q itself</x:t>
        </x:is>
      </x:c>
      <x:c r="K27" s="83" t="inlineStr">
        <x:is>
          <x:t xml:space="preserve">https://www.sec.gov/Archives/edgar/data/1692819/000169281926000019/vistra-20260630.htm</x:t>
        </x:is>
      </x:c>
      <x:c r="L27" s="83" t="inlineStr">
        <x:is>
          <x:t xml:space="preserve"/>
        </x:is>
      </x:c>
      <x:c r="M27" s="83" t="n"/>
      <x:c r="N27" s="83" t="n"/>
      <x:c r="O27" s="83" t="n"/>
      <x:c r="P27" s="83" t="n"/>
      <x:c r="Q27" s="83" t="n"/>
      <x:c r="R27" s="85" t="n"/>
    </x:row>
    <x:row r="28" ht="36" customHeight="1">
      <x:c r="A28" s="100" t="inlineStr">
        <x:is>
          <x:t xml:space="preserve">VST</x:t>
        </x:is>
      </x:c>
      <x:c r="B28" s="83" t="inlineStr">
        <x:is>
          <x:t xml:space="preserve">Baseline gross debt</x:t>
        </x:is>
      </x:c>
      <x:c r="C28" s="83" t="inlineStr">
        <x:is>
          <x:t xml:space="preserve">Accounts receivable financing</x:t>
        </x:is>
      </x:c>
      <x:c r="D28" s="101" t="n">
        <x:v>300000000</x:v>
      </x:c>
      <x:c r="E28" s="83" t="inlineStr">
        <x:is>
          <x:t xml:space="preserve">2026-06-30</x:t>
        </x:is>
      </x:c>
      <x:c r="F28" s="83" t="inlineStr">
        <x:is>
          <x:t xml:space="preserve">10-Q</x:t>
        </x:is>
      </x:c>
      <x:c r="G28" s="83" t="inlineStr">
        <x:is>
          <x:t xml:space="preserve">2026-08-10</x:t>
        </x:is>
      </x:c>
      <x:c r="H28" s="83" t="inlineStr">
        <x:is>
          <x:t xml:space="preserve">0001692819-26-000019</x:t>
        </x:is>
      </x:c>
      <x:c r="I28" s="83" t="inlineStr">
        <x:is>
          <x:t xml:space="preserve">vistra:AccountsReceivableSecuritizationProgramAmountsBorrowed</x:t>
        </x:is>
      </x:c>
      <x:c r="J28" s="83" t="inlineStr">
        <x:is>
          <x:t xml:space="preserve">USD instant at the balance-sheet date in the checked filing document, no dimensions</x:t>
        </x:is>
      </x:c>
      <x:c r="K28" s="83" t="inlineStr">
        <x:is>
          <x:t xml:space="preserve">https://www.sec.gov/Archives/edgar/data/1692819/000169281926000019/vistra-20260630.htm</x:t>
        </x:is>
      </x:c>
      <x:c r="L28" s="83" t="inlineStr">
        <x:is>
          <x:t xml:space="preserve"/>
        </x:is>
      </x:c>
      <x:c r="M28" s="83" t="inlineStr">
        <x:is>
          <x:t xml:space="preserve">c-8</x:t>
        </x:is>
      </x:c>
      <x:c r="N28" s="83" t="n">
        <x:v>6</x:v>
      </x:c>
      <x:c r="O28" s="83" t="inlineStr">
        <x:is>
          <x:t xml:space="preserve">-6</x:t>
        </x:is>
      </x:c>
      <x:c r="P28" s="83" t="n"/>
      <x:c r="Q28" s="83" t="n"/>
      <x:c r="R28" s="85" t="n"/>
    </x:row>
    <x:row r="29" ht="36" customHeight="1">
      <x:c r="A29" s="100" t="inlineStr">
        <x:is>
          <x:t xml:space="preserve">VST</x:t>
        </x:is>
      </x:c>
      <x:c r="B29" s="83" t="inlineStr">
        <x:is>
          <x:t xml:space="preserve">Current ratio</x:t>
        </x:is>
      </x:c>
      <x:c r="C29" s="83" t="inlineStr">
        <x:is>
          <x:t xml:space="preserve">Current assets</x:t>
        </x:is>
      </x:c>
      <x:c r="D29" s="101" t="n">
        <x:v>10276000000</x:v>
      </x:c>
      <x:c r="E29" s="83" t="inlineStr">
        <x:is>
          <x:t xml:space="preserve">2026-06-30</x:t>
        </x:is>
      </x:c>
      <x:c r="F29" s="83" t="inlineStr">
        <x:is>
          <x:t xml:space="preserve">10-Q</x:t>
        </x:is>
      </x:c>
      <x:c r="G29" s="83" t="inlineStr">
        <x:is>
          <x:t xml:space="preserve">2026-08-10</x:t>
        </x:is>
      </x:c>
      <x:c r="H29" s="83" t="inlineStr">
        <x:is>
          <x:t xml:space="preserve">0001692819-26-000019</x:t>
        </x:is>
      </x:c>
      <x:c r="I29" s="83" t="inlineStr">
        <x:is>
          <x:t xml:space="preserve">us-gaap:AssetsCurrent</x:t>
        </x:is>
      </x:c>
      <x:c r="J29" s="83" t="inlineStr">
        <x:is>
          <x:t xml:space="preserve">USD instant at the balance-sheet date, from the latest original 10-K or 10-Q itself</x:t>
        </x:is>
      </x:c>
      <x:c r="K29" s="83" t="inlineStr">
        <x:is>
          <x:t xml:space="preserve">https://www.sec.gov/Archives/edgar/data/1692819/000169281926000019/vistra-20260630.htm</x:t>
        </x:is>
      </x:c>
      <x:c r="L29" s="83" t="inlineStr">
        <x:is>
          <x:t xml:space="preserve"/>
        </x:is>
      </x:c>
      <x:c r="M29" s="83" t="n"/>
      <x:c r="N29" s="83" t="n"/>
      <x:c r="O29" s="83" t="n"/>
      <x:c r="P29" s="83" t="n"/>
      <x:c r="Q29" s="83" t="n"/>
      <x:c r="R29" s="85" t="n"/>
    </x:row>
    <x:row r="30" ht="36" customHeight="1">
      <x:c r="A30" s="100" t="inlineStr">
        <x:is>
          <x:t xml:space="preserve">VST</x:t>
        </x:is>
      </x:c>
      <x:c r="B30" s="83" t="inlineStr">
        <x:is>
          <x:t xml:space="preserve">Current ratio</x:t>
        </x:is>
      </x:c>
      <x:c r="C30" s="83" t="inlineStr">
        <x:is>
          <x:t xml:space="preserve">Current liabilities</x:t>
        </x:is>
      </x:c>
      <x:c r="D30" s="101" t="n">
        <x:v>10557000000</x:v>
      </x:c>
      <x:c r="E30" s="83" t="inlineStr">
        <x:is>
          <x:t xml:space="preserve">2026-06-30</x:t>
        </x:is>
      </x:c>
      <x:c r="F30" s="83" t="inlineStr">
        <x:is>
          <x:t xml:space="preserve">10-Q</x:t>
        </x:is>
      </x:c>
      <x:c r="G30" s="83" t="inlineStr">
        <x:is>
          <x:t xml:space="preserve">2026-08-10</x:t>
        </x:is>
      </x:c>
      <x:c r="H30" s="83" t="inlineStr">
        <x:is>
          <x:t xml:space="preserve">0001692819-26-000019</x:t>
        </x:is>
      </x:c>
      <x:c r="I30" s="83" t="inlineStr">
        <x:is>
          <x:t xml:space="preserve">us-gaap:LiabilitiesCurrent</x:t>
        </x:is>
      </x:c>
      <x:c r="J30" s="83" t="inlineStr">
        <x:is>
          <x:t xml:space="preserve">USD instant at the balance-sheet date, from the latest original 10-K or 10-Q itself</x:t>
        </x:is>
      </x:c>
      <x:c r="K30" s="83" t="inlineStr">
        <x:is>
          <x:t xml:space="preserve">https://www.sec.gov/Archives/edgar/data/1692819/000169281926000019/vistra-20260630.htm</x:t>
        </x:is>
      </x:c>
      <x:c r="L30" s="83" t="inlineStr">
        <x:is>
          <x:t xml:space="preserve"/>
        </x:is>
      </x:c>
      <x:c r="M30" s="83" t="n"/>
      <x:c r="N30" s="83" t="n"/>
      <x:c r="O30" s="83" t="n"/>
      <x:c r="P30" s="83" t="n"/>
      <x:c r="Q30" s="83" t="n"/>
      <x:c r="R30" s="85" t="n"/>
    </x:row>
    <x:row r="31" ht="36" customHeight="1">
      <x:c r="A31" s="100" t="inlineStr">
        <x:is>
          <x:t xml:space="preserve">VST</x:t>
        </x:is>
      </x:c>
      <x:c r="B31" s="83" t="inlineStr">
        <x:is>
          <x:t xml:space="preserve">Operating cash flow</x:t>
        </x:is>
      </x:c>
      <x:c r="C31" s="83" t="inlineStr">
        <x:is>
          <x:t xml:space="preserve">Operating cash flow · fiscal year</x:t>
        </x:is>
      </x:c>
      <x:c r="D31" s="101" t="n">
        <x:v>4070000000</x:v>
      </x:c>
      <x:c r="E31" s="83" t="inlineStr">
        <x:is>
          <x:t xml:space="preserve">2025-12-31</x:t>
        </x:is>
      </x:c>
      <x:c r="F31" s="83" t="inlineStr">
        <x:is>
          <x:t xml:space="preserve">10-K</x:t>
        </x:is>
      </x:c>
      <x:c r="G31" s="83" t="inlineStr">
        <x:is>
          <x:t xml:space="preserve">2026-02-27</x:t>
        </x:is>
      </x:c>
      <x:c r="H31" s="83" t="inlineStr">
        <x:is>
          <x:t xml:space="preserve">0001692819-26-000006</x:t>
        </x:is>
      </x:c>
      <x:c r="I31" s="83" t="inlineStr">
        <x:is>
          <x:t xml:space="preserve">us-gaap:NetCashProvidedByUsedInOperatingActivities</x:t>
        </x:is>
      </x:c>
      <x:c r="J31" s="83" t="inlineStr">
        <x:is>
          <x:t xml:space="preserve">Exact tag, USD duration, exact start and end dates, no dimensions</x:t>
        </x:is>
      </x:c>
      <x:c r="K31" s="83" t="inlineStr">
        <x:is>
          <x:t xml:space="preserve">https://www.sec.gov/Archives/edgar/data/1692819/000169281926000006/vistra-20251231.htm</x:t>
        </x:is>
      </x:c>
      <x:c r="L31" s="83" t="inlineStr">
        <x:is>
          <x:t xml:space="preserve"/>
        </x:is>
      </x:c>
      <x:c r="M31" s="83" t="inlineStr">
        <x:is>
          <x:t xml:space="preserve">c-1</x:t>
        </x:is>
      </x:c>
      <x:c r="N31" s="83" t="n">
        <x:v>6</x:v>
      </x:c>
      <x:c r="O31" s="83" t="inlineStr">
        <x:is>
          <x:t xml:space="preserve">-6</x:t>
        </x:is>
      </x:c>
      <x:c r="P31" s="83" t="inlineStr">
        <x:is>
          <x:t xml:space="preserve">2025-01-01</x:t>
        </x:is>
      </x:c>
      <x:c r="Q31" s="83" t="inlineStr">
        <x:is>
          <x:t xml:space="preserve">Fiscal year</x:t>
        </x:is>
      </x:c>
      <x:c r="R31" s="85" t="n">
        <x:v>1</x:v>
      </x:c>
    </x:row>
    <x:row r="32" ht="36" customHeight="1">
      <x:c r="A32" s="100" t="inlineStr">
        <x:is>
          <x:t xml:space="preserve">VST</x:t>
        </x:is>
      </x:c>
      <x:c r="B32" s="83" t="inlineStr">
        <x:is>
          <x:t xml:space="preserve">Operating cash flow</x:t>
        </x:is>
      </x:c>
      <x:c r="C32" s="83" t="inlineStr">
        <x:is>
          <x:t xml:space="preserve">Operating cash flow · current year to date</x:t>
        </x:is>
      </x:c>
      <x:c r="D32" s="101" t="n">
        <x:v>2222000000</x:v>
      </x:c>
      <x:c r="E32" s="83" t="inlineStr">
        <x:is>
          <x:t xml:space="preserve">2026-06-30</x:t>
        </x:is>
      </x:c>
      <x:c r="F32" s="83" t="inlineStr">
        <x:is>
          <x:t xml:space="preserve">10-Q</x:t>
        </x:is>
      </x:c>
      <x:c r="G32" s="83" t="inlineStr">
        <x:is>
          <x:t xml:space="preserve">2026-08-10</x:t>
        </x:is>
      </x:c>
      <x:c r="H32" s="83" t="inlineStr">
        <x:is>
          <x:t xml:space="preserve">0001692819-26-000019</x:t>
        </x:is>
      </x:c>
      <x:c r="I32" s="83" t="inlineStr">
        <x:is>
          <x:t xml:space="preserve">us-gaap:NetCashProvidedByUsedInOperatingActivities</x:t>
        </x:is>
      </x:c>
      <x:c r="J32" s="83" t="inlineStr">
        <x:is>
          <x:t xml:space="preserve">Exact tag, USD duration, exact start and end dates, no dimensions</x:t>
        </x:is>
      </x:c>
      <x:c r="K32" s="83" t="inlineStr">
        <x:is>
          <x:t xml:space="preserve">https://www.sec.gov/Archives/edgar/data/1692819/000169281926000019/vistra-20260630.htm</x:t>
        </x:is>
      </x:c>
      <x:c r="L32" s="83" t="inlineStr">
        <x:is>
          <x:t xml:space="preserve"/>
        </x:is>
      </x:c>
      <x:c r="M32" s="83" t="inlineStr">
        <x:is>
          <x:t xml:space="preserve">c-1</x:t>
        </x:is>
      </x:c>
      <x:c r="N32" s="83" t="n">
        <x:v>6</x:v>
      </x:c>
      <x:c r="O32" s="83" t="inlineStr">
        <x:is>
          <x:t xml:space="preserve">-6</x:t>
        </x:is>
      </x:c>
      <x:c r="P32" s="83" t="inlineStr">
        <x:is>
          <x:t xml:space="preserve">2026-01-01</x:t>
        </x:is>
      </x:c>
      <x:c r="Q32" s="83" t="inlineStr">
        <x:is>
          <x:t xml:space="preserve">Current year to date</x:t>
        </x:is>
      </x:c>
      <x:c r="R32" s="85" t="n">
        <x:v>1</x:v>
      </x:c>
    </x:row>
    <x:row r="33" ht="36" customHeight="1">
      <x:c r="A33" s="100" t="inlineStr">
        <x:is>
          <x:t xml:space="preserve">VST</x:t>
        </x:is>
      </x:c>
      <x:c r="B33" s="83" t="inlineStr">
        <x:is>
          <x:t xml:space="preserve">Operating cash flow</x:t>
        </x:is>
      </x:c>
      <x:c r="C33" s="83" t="inlineStr">
        <x:is>
          <x:t xml:space="preserve">Operating cash flow · prior year to date</x:t>
        </x:is>
      </x:c>
      <x:c r="D33" s="101" t="n">
        <x:v>1171000000</x:v>
      </x:c>
      <x:c r="E33" s="83" t="inlineStr">
        <x:is>
          <x:t xml:space="preserve">2025-06-30</x:t>
        </x:is>
      </x:c>
      <x:c r="F33" s="83" t="inlineStr">
        <x:is>
          <x:t xml:space="preserve">10-Q</x:t>
        </x:is>
      </x:c>
      <x:c r="G33" s="83" t="inlineStr">
        <x:is>
          <x:t xml:space="preserve">2026-08-10</x:t>
        </x:is>
      </x:c>
      <x:c r="H33" s="83" t="inlineStr">
        <x:is>
          <x:t xml:space="preserve">0001692819-26-000019</x:t>
        </x:is>
      </x:c>
      <x:c r="I33" s="83" t="inlineStr">
        <x:is>
          <x:t xml:space="preserve">us-gaap:NetCashProvidedByUsedInOperatingActivities</x:t>
        </x:is>
      </x:c>
      <x:c r="J33" s="83" t="inlineStr">
        <x:is>
          <x:t xml:space="preserve">Exact tag, USD duration, exact start and end dates, no dimensions</x:t>
        </x:is>
      </x:c>
      <x:c r="K33" s="83" t="inlineStr">
        <x:is>
          <x:t xml:space="preserve">https://www.sec.gov/Archives/edgar/data/1692819/000169281926000019/vistra-20260630.htm</x:t>
        </x:is>
      </x:c>
      <x:c r="L33" s="83" t="inlineStr">
        <x:is>
          <x:t xml:space="preserve"/>
        </x:is>
      </x:c>
      <x:c r="M33" s="83" t="inlineStr">
        <x:is>
          <x:t xml:space="preserve">c-7</x:t>
        </x:is>
      </x:c>
      <x:c r="N33" s="83" t="n">
        <x:v>6</x:v>
      </x:c>
      <x:c r="O33" s="83" t="inlineStr">
        <x:is>
          <x:t xml:space="preserve">-6</x:t>
        </x:is>
      </x:c>
      <x:c r="P33" s="83" t="inlineStr">
        <x:is>
          <x:t xml:space="preserve">2025-01-01</x:t>
        </x:is>
      </x:c>
      <x:c r="Q33" s="83" t="inlineStr">
        <x:is>
          <x:t xml:space="preserve">Prior year to date</x:t>
        </x:is>
      </x:c>
      <x:c r="R33" s="85" t="n">
        <x:v>-1</x:v>
      </x:c>
    </x:row>
    <x:row r="34" ht="36" customHeight="1">
      <x:c r="A34" s="100" t="inlineStr">
        <x:is>
          <x:t xml:space="preserve">VST</x:t>
        </x:is>
      </x:c>
      <x:c r="B34" s="83" t="inlineStr">
        <x:is>
          <x:t xml:space="preserve">Capital expenditures, including nuclear fuel and LTSA prepayments</x:t>
        </x:is>
      </x:c>
      <x:c r="C34" s="83" t="inlineStr">
        <x:is>
          <x:t xml:space="preserve">Capital expenditures, including nuclear fuel and LTSA prepayments · fiscal year</x:t>
        </x:is>
      </x:c>
      <x:c r="D34" s="101" t="n">
        <x:v>2752000000</x:v>
      </x:c>
      <x:c r="E34" s="83" t="inlineStr">
        <x:is>
          <x:t xml:space="preserve">2025-12-31</x:t>
        </x:is>
      </x:c>
      <x:c r="F34" s="83" t="inlineStr">
        <x:is>
          <x:t xml:space="preserve">10-K</x:t>
        </x:is>
      </x:c>
      <x:c r="G34" s="83" t="inlineStr">
        <x:is>
          <x:t xml:space="preserve">2026-02-27</x:t>
        </x:is>
      </x:c>
      <x:c r="H34" s="83" t="inlineStr">
        <x:is>
          <x:t xml:space="preserve">0001692819-26-000006</x:t>
        </x:is>
      </x:c>
      <x:c r="I34" s="83" t="inlineStr">
        <x:is>
          <x:t xml:space="preserve">us-gaap:PaymentsToAcquirePropertyPlantAndEquipment</x:t>
        </x:is>
      </x:c>
      <x:c r="J34" s="83" t="inlineStr">
        <x:is>
          <x:t xml:space="preserve">Exact tag, USD duration, exact start and end dates, no dimensions</x:t>
        </x:is>
      </x:c>
      <x:c r="K34" s="83" t="inlineStr">
        <x:is>
          <x:t xml:space="preserve">https://www.sec.gov/Archives/edgar/data/1692819/000169281926000006/vistra-20251231.htm</x:t>
        </x:is>
      </x:c>
      <x:c r="L34" s="83" t="inlineStr">
        <x:is>
          <x:t xml:space="preserve"/>
        </x:is>
      </x:c>
      <x:c r="M34" s="83" t="inlineStr">
        <x:is>
          <x:t xml:space="preserve">c-1</x:t>
        </x:is>
      </x:c>
      <x:c r="N34" s="83" t="n">
        <x:v>6</x:v>
      </x:c>
      <x:c r="O34" s="83" t="inlineStr">
        <x:is>
          <x:t xml:space="preserve">-6</x:t>
        </x:is>
      </x:c>
      <x:c r="P34" s="83" t="inlineStr">
        <x:is>
          <x:t xml:space="preserve">2025-01-01</x:t>
        </x:is>
      </x:c>
      <x:c r="Q34" s="83" t="inlineStr">
        <x:is>
          <x:t xml:space="preserve">Fiscal year</x:t>
        </x:is>
      </x:c>
      <x:c r="R34" s="85" t="n">
        <x:v>1</x:v>
      </x:c>
    </x:row>
    <x:row r="35" ht="36" customHeight="1">
      <x:c r="A35" s="100" t="inlineStr">
        <x:is>
          <x:t xml:space="preserve">VST</x:t>
        </x:is>
      </x:c>
      <x:c r="B35" s="83" t="inlineStr">
        <x:is>
          <x:t xml:space="preserve">Capital expenditures, including nuclear fuel and LTSA prepayments</x:t>
        </x:is>
      </x:c>
      <x:c r="C35" s="83" t="inlineStr">
        <x:is>
          <x:t xml:space="preserve">Capital expenditures, including nuclear fuel and LTSA prepayments · current year to date</x:t>
        </x:is>
      </x:c>
      <x:c r="D35" s="101" t="n">
        <x:v>1572000000</x:v>
      </x:c>
      <x:c r="E35" s="83" t="inlineStr">
        <x:is>
          <x:t xml:space="preserve">2026-06-30</x:t>
        </x:is>
      </x:c>
      <x:c r="F35" s="83" t="inlineStr">
        <x:is>
          <x:t xml:space="preserve">10-Q</x:t>
        </x:is>
      </x:c>
      <x:c r="G35" s="83" t="inlineStr">
        <x:is>
          <x:t xml:space="preserve">2026-08-10</x:t>
        </x:is>
      </x:c>
      <x:c r="H35" s="83" t="inlineStr">
        <x:is>
          <x:t xml:space="preserve">0001692819-26-000019</x:t>
        </x:is>
      </x:c>
      <x:c r="I35" s="83" t="inlineStr">
        <x:is>
          <x:t xml:space="preserve">us-gaap:PaymentsToAcquirePropertyPlantAndEquipment</x:t>
        </x:is>
      </x:c>
      <x:c r="J35" s="83" t="inlineStr">
        <x:is>
          <x:t xml:space="preserve">Exact tag, USD duration, exact start and end dates, no dimensions</x:t>
        </x:is>
      </x:c>
      <x:c r="K35" s="83" t="inlineStr">
        <x:is>
          <x:t xml:space="preserve">https://www.sec.gov/Archives/edgar/data/1692819/000169281926000019/vistra-20260630.htm</x:t>
        </x:is>
      </x:c>
      <x:c r="L35" s="83" t="inlineStr">
        <x:is>
          <x:t xml:space="preserve"/>
        </x:is>
      </x:c>
      <x:c r="M35" s="83" t="inlineStr">
        <x:is>
          <x:t xml:space="preserve">c-1</x:t>
        </x:is>
      </x:c>
      <x:c r="N35" s="83" t="n">
        <x:v>6</x:v>
      </x:c>
      <x:c r="O35" s="83" t="inlineStr">
        <x:is>
          <x:t xml:space="preserve">-6</x:t>
        </x:is>
      </x:c>
      <x:c r="P35" s="83" t="inlineStr">
        <x:is>
          <x:t xml:space="preserve">2026-01-01</x:t>
        </x:is>
      </x:c>
      <x:c r="Q35" s="83" t="inlineStr">
        <x:is>
          <x:t xml:space="preserve">Current year to date</x:t>
        </x:is>
      </x:c>
      <x:c r="R35" s="85" t="n">
        <x:v>1</x:v>
      </x:c>
    </x:row>
    <x:row r="36" ht="36" customHeight="1">
      <x:c r="A36" s="102" t="inlineStr">
        <x:is>
          <x:t xml:space="preserve">VST</x:t>
        </x:is>
      </x:c>
      <x:c r="B36" s="94" t="inlineStr">
        <x:is>
          <x:t xml:space="preserve">Capital expenditures, including nuclear fuel and LTSA prepayments</x:t>
        </x:is>
      </x:c>
      <x:c r="C36" s="94" t="inlineStr">
        <x:is>
          <x:t xml:space="preserve">Capital expenditures, including nuclear fuel and LTSA prepayments · prior year to date</x:t>
        </x:is>
      </x:c>
      <x:c r="D36" s="103" t="n">
        <x:v>1458000000</x:v>
      </x:c>
      <x:c r="E36" s="94" t="inlineStr">
        <x:is>
          <x:t xml:space="preserve">2025-06-30</x:t>
        </x:is>
      </x:c>
      <x:c r="F36" s="94" t="inlineStr">
        <x:is>
          <x:t xml:space="preserve">10-Q</x:t>
        </x:is>
      </x:c>
      <x:c r="G36" s="94" t="inlineStr">
        <x:is>
          <x:t xml:space="preserve">2026-08-10</x:t>
        </x:is>
      </x:c>
      <x:c r="H36" s="94" t="inlineStr">
        <x:is>
          <x:t xml:space="preserve">0001692819-26-000019</x:t>
        </x:is>
      </x:c>
      <x:c r="I36" s="94" t="inlineStr">
        <x:is>
          <x:t xml:space="preserve">us-gaap:PaymentsToAcquirePropertyPlantAndEquipment</x:t>
        </x:is>
      </x:c>
      <x:c r="J36" s="94" t="inlineStr">
        <x:is>
          <x:t xml:space="preserve">Exact tag, USD duration, exact start and end dates, no dimensions</x:t>
        </x:is>
      </x:c>
      <x:c r="K36" s="94" t="inlineStr">
        <x:is>
          <x:t xml:space="preserve">https://www.sec.gov/Archives/edgar/data/1692819/000169281926000019/vistra-20260630.htm</x:t>
        </x:is>
      </x:c>
      <x:c r="L36" s="94" t="inlineStr">
        <x:is>
          <x:t xml:space="preserve"/>
        </x:is>
      </x:c>
      <x:c r="M36" s="94" t="inlineStr">
        <x:is>
          <x:t xml:space="preserve">c-7</x:t>
        </x:is>
      </x:c>
      <x:c r="N36" s="94" t="n">
        <x:v>6</x:v>
      </x:c>
      <x:c r="O36" s="94" t="inlineStr">
        <x:is>
          <x:t xml:space="preserve">-6</x:t>
        </x:is>
      </x:c>
      <x:c r="P36" s="94" t="inlineStr">
        <x:is>
          <x:t xml:space="preserve">2025-01-01</x:t>
        </x:is>
      </x:c>
      <x:c r="Q36" s="94" t="inlineStr">
        <x:is>
          <x:t xml:space="preserve">Prior year to date</x:t>
        </x:is>
      </x:c>
      <x:c r="R36" s="96" t="n">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3" hidden="0" customWidth="1"/>
    <x:col min="2" max="2" width="105" hidden="0" customWidth="1"/>
  </x:cols>
  <x:sheetData>
    <x:row r="1" ht="32" customHeight="1">
      <x:c r="A1" s="97" t="inlineStr">
        <x:is>
          <x:t xml:space="preserve">Item</x:t>
        </x:is>
      </x:c>
      <x:c r="B1" s="99" t="inlineStr">
        <x:is>
          <x:t xml:space="preserve">Description</x:t>
        </x:is>
      </x:c>
    </x:row>
    <x:row r="2" ht="26" customHeight="1">
      <x:c r="A2" s="100" t="inlineStr">
        <x:is>
          <x:t xml:space="preserve">Snapshot</x:t>
        </x:is>
      </x:c>
      <x:c r="B2" s="85" t="inlineStr">
        <x:is>
          <x:t xml:space="preserve">Saved pilot evidence checked October 14, 2026. Not live data or investment advice.</x:t>
        </x:is>
      </x:c>
    </x:row>
    <x:row r="3" ht="26" customHeight="1">
      <x:c r="A3" s="100" t="inlineStr">
        <x:is>
          <x:t xml:space="preserve">Units</x:t>
        </x:is>
      </x:c>
      <x:c r="B3" s="85" t="inlineStr">
        <x:is>
          <x:t xml:space="preserve">Dollar inputs are stored in USD and displayed in millions. Ratios are multiples.</x:t>
        </x:is>
      </x:c>
    </x:row>
    <x:row r="4" ht="26" customHeight="1">
      <x:c r="A4" s="100" t="inlineStr">
        <x:is>
          <x:t xml:space="preserve">Calculation</x:t>
        </x:is>
      </x:c>
      <x:c r="B4" s="85" t="inlineStr">
        <x:is>
          <x:t xml:space="preserve">Excel recalculates formulas when opened. Each formula traces to reported inputs.</x:t>
        </x:is>
      </x:c>
    </x:row>
    <x:row r="5" ht="36" customHeight="1">
      <x:c r="A5" s="100" t="inlineStr">
        <x:is>
          <x:t xml:space="preserve">Colors</x:t>
        </x:is>
      </x:c>
      <x:c r="B5" s="85" t="inlineStr">
        <x:is>
          <x:t xml:space="preserve">Blue numbers are reported inputs. Green formulas link a reported value from another sheet. Black formulas calculate results.</x:t>
        </x:is>
      </x:c>
    </x:row>
    <x:row r="6" ht="36" customHeight="1">
      <x:c r="A6" s="100" t="inlineStr">
        <x:is>
          <x:t xml:space="preserve">Scope</x:t>
        </x:is>
      </x:c>
      <x:c r="B6" s="85" t="inlineStr">
        <x:is>
          <x:t xml:space="preserve">Baseline borrowing excludes leases. FCF subtracts the reported capital-spending line from OCF; acquisitions are excluded. Historical flow/debt ratios are not repayment forecasts. This is not a complete obligations analysis.</x:t>
        </x:is>
      </x:c>
    </x:row>
    <x:row r="7" ht="50" customHeight="1">
      <x:c r="A7" s="102" t="inlineStr">
        <x:is>
          <x:t xml:space="preserve">Oracle maturity review</x:t>
        </x:is>
      </x:c>
      <x:c r="B7" s="96" t="inlineStr">
        <x:is>
          <x:t xml:space="preserve">Historical principal schedule at May 31, 2026. Annual buckets exclude interest and leases. August schedule and revolver availability are Unavailable. Inputs and subsequent document checks are in Oracle debt inputs and Oracle financing; no events are rolled into the balance sheet.</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9" hidden="0" customWidth="1"/>
    <x:col min="2" max="2" width="35" hidden="0" customWidth="1"/>
    <x:col min="3" max="3" width="29" hidden="0" customWidth="1"/>
    <x:col min="4" max="4" width="20" hidden="0" customWidth="1"/>
    <x:col min="5" max="5" width="34" hidden="0" customWidth="1"/>
    <x:col min="6" max="6" width="34" hidden="0" customWidth="1"/>
    <x:col min="7" max="7" width="34" hidden="0" customWidth="1"/>
    <x:col min="8" max="8" width="65" hidden="0" customWidth="1"/>
    <x:col min="9" max="9" width="85" hidden="0" customWidth="1"/>
  </x:cols>
  <x:sheetData>
    <x:row r="1" ht="32" customHeight="1">
      <x:c r="A1" s="97" t="inlineStr">
        <x:is>
          <x:t xml:space="preserve">Ticker</x:t>
        </x:is>
      </x:c>
      <x:c r="B1" s="98" t="inlineStr">
        <x:is>
          <x:t xml:space="preserve">Disclosure</x:t>
        </x:is>
      </x:c>
      <x:c r="C1" s="98" t="inlineStr">
        <x:is>
          <x:t xml:space="preserve">Amount as disclosed</x:t>
        </x:is>
      </x:c>
      <x:c r="D1" s="98" t="inlineStr">
        <x:is>
          <x:t xml:space="preserve">Reporting date</x:t>
        </x:is>
      </x:c>
      <x:c r="E1" s="98" t="inlineStr">
        <x:is>
          <x:t xml:space="preserve">Classification</x:t>
        </x:is>
      </x:c>
      <x:c r="F1" s="98" t="inlineStr">
        <x:is>
          <x:t xml:space="preserve">Filing location</x:t>
        </x:is>
      </x:c>
      <x:c r="G1" s="98" t="inlineStr">
        <x:is>
          <x:t xml:space="preserve">Accession</x:t>
        </x:is>
      </x:c>
      <x:c r="H1" s="98" t="inlineStr">
        <x:is>
          <x:t xml:space="preserve">Source</x:t>
        </x:is>
      </x:c>
      <x:c r="I1" s="99" t="inlineStr">
        <x:is>
          <x:t xml:space="preserve">Notes</x:t>
        </x:is>
      </x:c>
    </x:row>
    <x:row r="2" ht="36" customHeight="1">
      <x:c r="A2" s="100" t="inlineStr">
        <x:is>
          <x:t xml:space="preserve">LLY</x:t>
        </x:is>
      </x:c>
      <x:c r="B2" s="83" t="inlineStr">
        <x:is>
          <x:t xml:space="preserve">Pending AtaiBeckley acquisition</x:t>
        </x:is>
      </x:c>
      <x:c r="C2" s="83" t="inlineStr">
        <x:is>
          <x:t xml:space="preserve">Approximately $2.8B</x:t>
        </x:is>
      </x:c>
      <x:c r="D2" s="83" t="inlineStr">
        <x:is>
          <x:t xml:space="preserve">2026-06-30</x:t>
        </x:is>
      </x:c>
      <x:c r="E2" s="83" t="inlineStr">
        <x:is>
          <x:t xml:space="preserve">Future commitment</x:t>
        </x:is>
      </x:c>
      <x:c r="F2" s="83" t="inlineStr">
        <x:is>
          <x:t xml:space="preserve">10-Q MD&amp;A, p. 31</x:t>
        </x:is>
      </x:c>
      <x:c r="G2" s="83" t="inlineStr">
        <x:is>
          <x:t xml:space="preserve">0000059478-26-000081</x:t>
        </x:is>
      </x:c>
      <x:c r="H2" s="83" t="inlineStr">
        <x:is>
          <x:t xml:space="preserve">https://www.sec.gov/Archives/edgar/data/59478/000005947826000081/lly-20260630.htm</x:t>
        </x:is>
      </x:c>
      <x:c r="I2" s="85" t="inlineStr">
        <x:is>
          <x:t xml:space="preserve">Potential payment at closing, subject to closing conditions. Not recognized as borrowing.</x:t>
        </x:is>
      </x:c>
    </x:row>
    <x:row r="3" ht="36" customHeight="1">
      <x:c r="A3" s="100" t="inlineStr">
        <x:is>
          <x:t xml:space="preserve">LLY</x:t>
        </x:is>
      </x:c>
      <x:c r="B3" s="83" t="inlineStr">
        <x:is>
          <x:t xml:space="preserve">Venture fund commitments</x:t>
        </x:is>
      </x:c>
      <x:c r="C3" s="83" t="inlineStr">
        <x:is>
          <x:t xml:space="preserve">Approximately $806M</x:t>
        </x:is>
      </x:c>
      <x:c r="D3" s="83" t="inlineStr">
        <x:is>
          <x:t xml:space="preserve">2026-06-30</x:t>
        </x:is>
      </x:c>
      <x:c r="E3" s="83" t="inlineStr">
        <x:is>
          <x:t xml:space="preserve">Unfunded commitment</x:t>
        </x:is>
      </x:c>
      <x:c r="F3" s="83" t="inlineStr">
        <x:is>
          <x:t xml:space="preserve">10-Q MD&amp;A, p. 31; Note 8</x:t>
        </x:is>
      </x:c>
      <x:c r="G3" s="83" t="inlineStr">
        <x:is>
          <x:t xml:space="preserve">0000059478-26-000081</x:t>
        </x:is>
      </x:c>
      <x:c r="H3" s="83" t="inlineStr">
        <x:is>
          <x:t xml:space="preserve">https://www.sec.gov/Archives/edgar/data/59478/000005947826000081/lly-20260630.htm</x:t>
        </x:is>
      </x:c>
      <x:c r="I3" s="85" t="inlineStr">
        <x:is>
          <x:t xml:space="preserve">Expected to be paid over up to ten years. Not recognized as borrowing.</x:t>
        </x:is>
      </x:c>
    </x:row>
    <x:row r="4" ht="36" customHeight="1">
      <x:c r="A4" s="100" t="inlineStr">
        <x:is>
          <x:t xml:space="preserve">ORCL</x:t>
        </x:is>
      </x:c>
      <x:c r="B4" s="83" t="inlineStr">
        <x:is>
          <x:t xml:space="preserve">Leases not yet commenced</x:t>
        </x:is>
      </x:c>
      <x:c r="C4" s="83" t="inlineStr">
        <x:is>
          <x:t xml:space="preserve">$288B</x:t>
        </x:is>
      </x:c>
      <x:c r="D4" s="83" t="inlineStr">
        <x:is>
          <x:t xml:space="preserve">2026-08-31</x:t>
        </x:is>
      </x:c>
      <x:c r="E4" s="83" t="inlineStr">
        <x:is>
          <x:t xml:space="preserve">Future commitment</x:t>
        </x:is>
      </x:c>
      <x:c r="F4" s="83" t="inlineStr">
        <x:is>
          <x:t xml:space="preserve">10-Q Note 6, p. 13</x:t>
        </x:is>
      </x:c>
      <x:c r="G4" s="83" t="inlineStr">
        <x:is>
          <x:t xml:space="preserve">0001193125-26-389274</x:t>
        </x:is>
      </x:c>
      <x:c r="H4" s="83" t="inlineStr">
        <x:is>
          <x:t xml:space="preserve">https://www.sec.gov/Archives/edgar/data/1341439/000119312526389274/orcl-20260831.htm</x:t>
        </x:is>
      </x:c>
      <x:c r="I4" s="85" t="inlineStr">
        <x:is>
          <x:t xml:space="preserve">Substantially all data centers; expected to commence in fiscal 2027–2029 with 15–19 year terms. Not on the balance sheet or in the lease maturities table.</x:t>
        </x:is>
      </x:c>
    </x:row>
    <x:row r="5" ht="36" customHeight="1">
      <x:c r="A5" s="100" t="inlineStr">
        <x:is>
          <x:t xml:space="preserve">ORCL</x:t>
        </x:is>
      </x:c>
      <x:c r="B5" s="83" t="inlineStr">
        <x:is>
          <x:t xml:space="preserve">Operating lease liabilities</x:t>
        </x:is>
      </x:c>
      <x:c r="C5" s="83" t="inlineStr">
        <x:is>
          <x:t xml:space="preserve">$34.621B</x:t>
        </x:is>
      </x:c>
      <x:c r="D5" s="83" t="inlineStr">
        <x:is>
          <x:t xml:space="preserve">2026-08-31</x:t>
        </x:is>
      </x:c>
      <x:c r="E5" s="83" t="inlineStr">
        <x:is>
          <x:t xml:space="preserve">Recognized liability</x:t>
        </x:is>
      </x:c>
      <x:c r="F5" s="83" t="inlineStr">
        <x:is>
          <x:t xml:space="preserve">10-Q Note 6, p. 12</x:t>
        </x:is>
      </x:c>
      <x:c r="G5" s="83" t="inlineStr">
        <x:is>
          <x:t xml:space="preserve">0001193125-26-389274</x:t>
        </x:is>
      </x:c>
      <x:c r="H5" s="83" t="inlineStr">
        <x:is>
          <x:t xml:space="preserve">https://www.sec.gov/Archives/edgar/data/1341439/000119312526389274/orcl-20260831.htm</x:t>
        </x:is>
      </x:c>
      <x:c r="I5" s="85" t="inlineStr">
        <x:is>
          <x:t xml:space="preserve">Recognized leases, separate from borrowing and from leases not yet commenced.</x:t>
        </x:is>
      </x:c>
    </x:row>
    <x:row r="6" ht="36" customHeight="1">
      <x:c r="A6" s="100" t="inlineStr">
        <x:is>
          <x:t xml:space="preserve">ORCL</x:t>
        </x:is>
      </x:c>
      <x:c r="B6" s="83" t="inlineStr">
        <x:is>
          <x:t xml:space="preserve">Finance lease liabilities</x:t>
        </x:is>
      </x:c>
      <x:c r="C6" s="83" t="inlineStr">
        <x:is>
          <x:t xml:space="preserve">$9.185B</x:t>
        </x:is>
      </x:c>
      <x:c r="D6" s="83" t="inlineStr">
        <x:is>
          <x:t xml:space="preserve">2026-08-31</x:t>
        </x:is>
      </x:c>
      <x:c r="E6" s="83" t="inlineStr">
        <x:is>
          <x:t xml:space="preserve">Recognized liability</x:t>
        </x:is>
      </x:c>
      <x:c r="F6" s="83" t="inlineStr">
        <x:is>
          <x:t xml:space="preserve">10-Q Note 6, p. 12</x:t>
        </x:is>
      </x:c>
      <x:c r="G6" s="83" t="inlineStr">
        <x:is>
          <x:t xml:space="preserve">0001193125-26-389274</x:t>
        </x:is>
      </x:c>
      <x:c r="H6" s="83" t="inlineStr">
        <x:is>
          <x:t xml:space="preserve">https://www.sec.gov/Archives/edgar/data/1341439/000119312526389274/orcl-20260831.htm</x:t>
        </x:is>
      </x:c>
      <x:c r="I6" s="85" t="inlineStr">
        <x:is>
          <x:t xml:space="preserve">Shown separately under this review's borrowing definition; excluded from baseline gross debt.</x:t>
        </x:is>
      </x:c>
    </x:row>
    <x:row r="7" ht="36" customHeight="1">
      <x:c r="A7" s="100" t="inlineStr">
        <x:is>
          <x:t xml:space="preserve">ORCL</x:t>
        </x:is>
      </x:c>
      <x:c r="B7" s="83" t="inlineStr">
        <x:is>
          <x:t xml:space="preserve">Purchase and other obligations</x:t>
        </x:is>
      </x:c>
      <x:c r="C7" s="83" t="inlineStr">
        <x:is>
          <x:t xml:space="preserve">$34.150B</x:t>
        </x:is>
      </x:c>
      <x:c r="D7" s="83" t="inlineStr">
        <x:is>
          <x:t xml:space="preserve">2026-08-31</x:t>
        </x:is>
      </x:c>
      <x:c r="E7" s="83" t="inlineStr">
        <x:is>
          <x:t xml:space="preserve">Unrecorded commitment</x:t>
        </x:is>
      </x:c>
      <x:c r="F7" s="83" t="inlineStr">
        <x:is>
          <x:t xml:space="preserve">10-Q Note 6, p. 13</x:t>
        </x:is>
      </x:c>
      <x:c r="G7" s="83" t="inlineStr">
        <x:is>
          <x:t xml:space="preserve">0001193125-26-389274</x:t>
        </x:is>
      </x:c>
      <x:c r="H7" s="83" t="inlineStr">
        <x:is>
          <x:t xml:space="preserve">https://www.sec.gov/Archives/edgar/data/1341439/000119312526389274/orcl-20260831.htm</x:t>
        </x:is>
      </x:c>
      <x:c r="I7" s="85" t="inlineStr">
        <x:is>
          <x:t xml:space="preserve">Primarily cloud infrastructure components and data center power. Overlap with other commitments is not established; no combined total is presented.</x:t>
        </x:is>
      </x:c>
    </x:row>
    <x:row r="8" ht="36" customHeight="1">
      <x:c r="A8" s="100" t="inlineStr">
        <x:is>
          <x:t xml:space="preserve">VST</x:t>
        </x:is>
      </x:c>
      <x:c r="B8" s="83" t="inlineStr">
        <x:is>
          <x:t xml:space="preserve">Nuveen final payment</x:t>
        </x:is>
      </x:c>
      <x:c r="C8" s="83" t="inlineStr">
        <x:is>
          <x:t xml:space="preserve">$631M due Dec 31, 2026</x:t>
        </x:is>
      </x:c>
      <x:c r="D8" s="83" t="inlineStr">
        <x:is>
          <x:t xml:space="preserve">2026-06-30</x:t>
        </x:is>
      </x:c>
      <x:c r="E8" s="83" t="inlineStr">
        <x:is>
          <x:t xml:space="preserve">Recognized purchase obligation</x:t>
        </x:is>
      </x:c>
      <x:c r="F8" s="83" t="inlineStr">
        <x:is>
          <x:t xml:space="preserve">10-Q Note 12, p. 28</x:t>
        </x:is>
      </x:c>
      <x:c r="G8" s="83" t="inlineStr">
        <x:is>
          <x:t xml:space="preserve">0001692819-26-000019</x:t>
        </x:is>
      </x:c>
      <x:c r="H8" s="83" t="inlineStr">
        <x:is>
          <x:t xml:space="preserve">https://www.sec.gov/Archives/edgar/data/1692819/000169281926000019/vistra-20260630.htm</x:t>
        </x:is>
      </x:c>
      <x:c r="I8" s="85" t="inlineStr">
        <x:is>
          <x:t xml:space="preserve">Principal and interest on the minority-interest purchase. The current balance-sheet obligation is $613M. Both describe the same obligation; neither is added to baseline borrowing.</x:t>
        </x:is>
      </x:c>
    </x:row>
    <x:row r="9" ht="36" customHeight="1">
      <x:c r="A9" s="100" t="inlineStr">
        <x:is>
          <x:t xml:space="preserve">VST</x:t>
        </x:is>
      </x:c>
      <x:c r="B9" s="83" t="inlineStr">
        <x:is>
          <x:t xml:space="preserve">Helix initial commitment</x:t>
        </x:is>
      </x:c>
      <x:c r="C9" s="83" t="inlineStr">
        <x:is>
          <x:t xml:space="preserve">$500M</x:t>
        </x:is>
      </x:c>
      <x:c r="D9" s="83" t="inlineStr">
        <x:is>
          <x:t xml:space="preserve">2026-06-30</x:t>
        </x:is>
      </x:c>
      <x:c r="E9" s="83" t="inlineStr">
        <x:is>
          <x:t xml:space="preserve">Callable investment commitment</x:t>
        </x:is>
      </x:c>
      <x:c r="F9" s="83" t="inlineStr">
        <x:is>
          <x:t xml:space="preserve">10-Q MD&amp;A, p. 69; Note 7, p. 15</x:t>
        </x:is>
      </x:c>
      <x:c r="G9" s="83" t="inlineStr">
        <x:is>
          <x:t xml:space="preserve">0001692819-26-000019</x:t>
        </x:is>
      </x:c>
      <x:c r="H9" s="83" t="inlineStr">
        <x:is>
          <x:t xml:space="preserve">https://www.sec.gov/Archives/edgar/data/1692819/000169281926000019/vistra-20260630.htm</x:t>
        </x:is>
      </x:c>
      <x:c r="I9" s="85" t="inlineStr">
        <x:is>
          <x:t xml:space="preserve">Remains callable by the fund's general partner, who determines timing and amount. Amount funded to date is not separately disclosed.</x:t>
        </x:is>
      </x:c>
    </x:row>
    <x:row r="10" ht="36" customHeight="1">
      <x:c r="A10" s="102" t="inlineStr">
        <x:is>
          <x:t xml:space="preserve">VST</x:t>
        </x:is>
      </x:c>
      <x:c r="B10" s="94" t="inlineStr">
        <x:is>
          <x:t xml:space="preserve">Helix additional commitment</x:t>
        </x:is>
      </x:c>
      <x:c r="C10" s="94" t="inlineStr">
        <x:is>
          <x:t xml:space="preserve">Up to $500M</x:t>
        </x:is>
      </x:c>
      <x:c r="D10" s="94" t="inlineStr">
        <x:is>
          <x:t xml:space="preserve">2026-06-30</x:t>
        </x:is>
      </x:c>
      <x:c r="E10" s="94" t="inlineStr">
        <x:is>
          <x:t xml:space="preserve">Conditional investment commitment</x:t>
        </x:is>
      </x:c>
      <x:c r="F10" s="94" t="inlineStr">
        <x:is>
          <x:t xml:space="preserve">10-Q MD&amp;A, p. 69; Note 7, p. 15</x:t>
        </x:is>
      </x:c>
      <x:c r="G10" s="94" t="inlineStr">
        <x:is>
          <x:t xml:space="preserve">0001692819-26-000019</x:t>
        </x:is>
      </x:c>
      <x:c r="H10" s="94" t="inlineStr">
        <x:is>
          <x:t xml:space="preserve">https://www.sec.gov/Archives/edgar/data/1692819/000169281926000019/vistra-20260630.htm</x:t>
        </x:is>
      </x:c>
      <x:c r="I10" s="96" t="inlineStr">
        <x:is>
          <x:t xml:space="preserve">The specified milestones had not occurred at June 30. Vistra may also elect to fund it regardless of those milestones.</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41" hidden="0" customWidth="1"/>
    <x:col min="2" max="2" width="20" hidden="0" customWidth="1"/>
    <x:col min="3" max="3" width="20" hidden="0" customWidth="1"/>
    <x:col min="4" max="4" width="23" hidden="0" customWidth="1"/>
    <x:col min="5" max="5" width="29" hidden="0" customWidth="1"/>
    <x:col min="6" max="6" width="65" hidden="0" customWidth="1"/>
  </x:cols>
  <x:sheetData>
    <x:row r="1" ht="32" customHeight="1">
      <x:c r="A1" s="97" t="inlineStr">
        <x:is>
          <x:t xml:space="preserve">Principal schedule</x:t>
        </x:is>
      </x:c>
      <x:c r="B1" s="98" t="inlineStr">
        <x:is>
          <x:t xml:space="preserve">Due from</x:t>
        </x:is>
      </x:c>
      <x:c r="C1" s="98" t="inlineStr">
        <x:is>
          <x:t xml:space="preserve">Due through</x:t>
        </x:is>
      </x:c>
      <x:c r="D1" s="98" t="inlineStr">
        <x:is>
          <x:t xml:space="preserve">USD (displayed in millions)</x:t>
        </x:is>
      </x:c>
      <x:c r="E1" s="98" t="inlineStr">
        <x:is>
          <x:t xml:space="preserve">Reporting basis</x:t>
        </x:is>
      </x:c>
      <x:c r="F1" s="99" t="inlineStr">
        <x:is>
          <x:t xml:space="preserve">Notes</x:t>
        </x:is>
      </x:c>
    </x:row>
    <x:row r="2" ht="26" customHeight="1">
      <x:c r="A2" s="126" t="inlineStr">
        <x:is>
          <x:t xml:space="preserve">Fiscal 2027</x:t>
        </x:is>
      </x:c>
      <x:c r="B2" s="127" t="n">
        <x:v>46174</x:v>
      </x:c>
      <x:c r="C2" s="127" t="n">
        <x:v>46538</x:v>
      </x:c>
      <x:c r="D2" s="128" t="n">
        <x:f>'Oracle debt inputs'!B2</x:f>
        <x:v>7210000000</x:v>
      </x:c>
      <x:c r="E2" s="129" t="inlineStr">
        <x:is>
          <x:t xml:space="preserve">As of May 31, 2026</x:t>
        </x:is>
      </x:c>
      <x:c r="F2" s="130" t="inlineStr">
        <x:is>
          <x:t xml:space="preserve">Full fiscal year; includes elapsed months at the August balance sheet</x:t>
        </x:is>
      </x:c>
    </x:row>
    <x:row r="3" ht="26" customHeight="1">
      <x:c r="A3" s="126" t="inlineStr">
        <x:is>
          <x:t xml:space="preserve">Fiscal 2028</x:t>
        </x:is>
      </x:c>
      <x:c r="B3" s="127" t="n">
        <x:v>46539</x:v>
      </x:c>
      <x:c r="C3" s="127" t="n">
        <x:v>46904</x:v>
      </x:c>
      <x:c r="D3" s="128" t="n">
        <x:f>'Oracle debt inputs'!B3</x:f>
        <x:v>10145000000</x:v>
      </x:c>
      <x:c r="E3" s="129" t="inlineStr">
        <x:is>
          <x:t xml:space="preserve">As of May 31, 2026</x:t>
        </x:is>
      </x:c>
      <x:c r="F3" s="130" t="inlineStr">
        <x:is>
          <x:t xml:space="preserve"/>
        </x:is>
      </x:c>
    </x:row>
    <x:row r="4" ht="26" customHeight="1">
      <x:c r="A4" s="126" t="inlineStr">
        <x:is>
          <x:t xml:space="preserve">Fiscal 2029</x:t>
        </x:is>
      </x:c>
      <x:c r="B4" s="127" t="n">
        <x:v>46905</x:v>
      </x:c>
      <x:c r="C4" s="127" t="n">
        <x:v>47269</x:v>
      </x:c>
      <x:c r="D4" s="128" t="n">
        <x:f>'Oracle debt inputs'!B4</x:f>
        <x:v>5500000000</x:v>
      </x:c>
      <x:c r="E4" s="129" t="inlineStr">
        <x:is>
          <x:t xml:space="preserve">As of May 31, 2026</x:t>
        </x:is>
      </x:c>
      <x:c r="F4" s="130" t="inlineStr">
        <x:is>
          <x:t xml:space="preserve"/>
        </x:is>
      </x:c>
    </x:row>
    <x:row r="5" ht="26" customHeight="1">
      <x:c r="A5" s="126" t="inlineStr">
        <x:is>
          <x:t xml:space="preserve">Fiscal 2030</x:t>
        </x:is>
      </x:c>
      <x:c r="B5" s="127" t="n">
        <x:v>47270</x:v>
      </x:c>
      <x:c r="C5" s="127" t="n">
        <x:v>47634</x:v>
      </x:c>
      <x:c r="D5" s="128" t="n">
        <x:f>'Oracle debt inputs'!B5</x:f>
        <x:v>7250000000</x:v>
      </x:c>
      <x:c r="E5" s="129" t="inlineStr">
        <x:is>
          <x:t xml:space="preserve">As of May 31, 2026</x:t>
        </x:is>
      </x:c>
      <x:c r="F5" s="130" t="inlineStr">
        <x:is>
          <x:t xml:space="preserve"/>
        </x:is>
      </x:c>
    </x:row>
    <x:row r="6" ht="26" customHeight="1">
      <x:c r="A6" s="126" t="inlineStr">
        <x:is>
          <x:t xml:space="preserve">Fiscal 2031</x:t>
        </x:is>
      </x:c>
      <x:c r="B6" s="127" t="n">
        <x:v>47635</x:v>
      </x:c>
      <x:c r="C6" s="127" t="n">
        <x:v>47999</x:v>
      </x:c>
      <x:c r="D6" s="128" t="n">
        <x:f>'Oracle debt inputs'!B6</x:f>
        <x:v>9750000000</x:v>
      </x:c>
      <x:c r="E6" s="129" t="inlineStr">
        <x:is>
          <x:t xml:space="preserve">As of May 31, 2026</x:t>
        </x:is>
      </x:c>
      <x:c r="F6" s="130" t="inlineStr">
        <x:is>
          <x:t xml:space="preserve"/>
        </x:is>
      </x:c>
    </x:row>
    <x:row r="7" ht="26" customHeight="1">
      <x:c r="A7" s="126" t="inlineStr">
        <x:is>
          <x:t xml:space="preserve">Thereafter</x:t>
        </x:is>
      </x:c>
      <x:c r="B7" s="127" t="n">
        <x:v>48000</x:v>
      </x:c>
      <x:c r="C7" s="127" t="n"/>
      <x:c r="D7" s="128" t="n">
        <x:f>'Oracle debt inputs'!B7</x:f>
        <x:v>90250000000</x:v>
      </x:c>
      <x:c r="E7" s="129" t="inlineStr">
        <x:is>
          <x:t xml:space="preserve">As of May 31, 2026</x:t>
        </x:is>
      </x:c>
      <x:c r="F7" s="130" t="inlineStr">
        <x:is>
          <x:t xml:space="preserve">Fiscal 2032 onward, combined</x:t>
        </x:is>
      </x:c>
    </x:row>
    <x:row r="8" ht="26" customHeight="1">
      <x:c r="A8" s="131" t="inlineStr">
        <x:is>
          <x:t xml:space="preserve">Calculated principal total</x:t>
        </x:is>
      </x:c>
      <x:c r="B8" s="132" t="n"/>
      <x:c r="C8" s="132" t="n"/>
      <x:c r="D8" s="133" t="n">
        <x:f>SUM(D2:D7)</x:f>
        <x:v>130105000000</x:v>
      </x:c>
      <x:c r="E8" s="134" t="inlineStr">
        <x:is>
          <x:t xml:space="preserve">As of May 31, 2026</x:t>
        </x:is>
      </x:c>
      <x:c r="F8" s="135" t="inlineStr">
        <x:is>
          <x:t xml:space="preserve">Excludes interest and leases</x:t>
        </x:is>
      </x:c>
    </x:row>
    <x:row r="9" ht="26" customHeight="1">
      <x:c r="A9" s="126" t="inlineStr">
        <x:is>
          <x:t xml:space="preserve">Reported principal total</x:t>
        </x:is>
      </x:c>
      <x:c r="B9" s="127" t="n"/>
      <x:c r="C9" s="127" t="n"/>
      <x:c r="D9" s="128" t="n">
        <x:f>'Oracle debt inputs'!B8</x:f>
        <x:v>130105000000</x:v>
      </x:c>
      <x:c r="E9" s="129" t="inlineStr">
        <x:is>
          <x:t xml:space="preserve">As of May 31, 2026</x:t>
        </x:is>
      </x:c>
      <x:c r="F9" s="130" t="inlineStr">
        <x:is>
          <x:t xml:space="preserve"/>
        </x:is>
      </x:c>
    </x:row>
    <x:row r="10" ht="26" customHeight="1">
      <x:c r="A10" s="126" t="inlineStr">
        <x:is>
          <x:t xml:space="preserve">Principal reconciliation difference</x:t>
        </x:is>
      </x:c>
      <x:c r="B10" s="127" t="n"/>
      <x:c r="C10" s="127" t="n"/>
      <x:c r="D10" s="136" t="n">
        <x:f>D8-D9</x:f>
        <x:v>0</x:v>
      </x:c>
      <x:c r="E10" s="129" t="inlineStr">
        <x:is>
          <x:t xml:space="preserve">As of May 31, 2026</x:t>
        </x:is>
      </x:c>
      <x:c r="F10" s="130" t="inlineStr">
        <x:is>
          <x:t xml:space="preserve">Zero means the six buckets equal the reported total</x:t>
        </x:is>
      </x:c>
    </x:row>
    <x:row r="11" ht="26" customHeight="1">
      <x:c r="A11" s="126" t="inlineStr">
        <x:is>
          <x:t xml:space="preserve">Less: discounts and issuance costs</x:t>
        </x:is>
      </x:c>
      <x:c r="B11" s="127" t="n"/>
      <x:c r="C11" s="127" t="n"/>
      <x:c r="D11" s="128" t="n">
        <x:f>'Oracle debt inputs'!B9</x:f>
        <x:v>564000000</x:v>
      </x:c>
      <x:c r="E11" s="129" t="inlineStr">
        <x:is>
          <x:t xml:space="preserve">As of May 31, 2026</x:t>
        </x:is>
      </x:c>
      <x:c r="F11" s="130" t="inlineStr">
        <x:is>
          <x:t xml:space="preserve"/>
        </x:is>
      </x:c>
    </x:row>
    <x:row r="12" ht="26" customHeight="1">
      <x:c r="A12" s="131" t="inlineStr">
        <x:is>
          <x:t xml:space="preserve">Calculated carrying debt</x:t>
        </x:is>
      </x:c>
      <x:c r="B12" s="132" t="n"/>
      <x:c r="C12" s="132" t="n"/>
      <x:c r="D12" s="133" t="n">
        <x:f>D8-D11</x:f>
        <x:v>129541000000</x:v>
      </x:c>
      <x:c r="E12" s="134" t="inlineStr">
        <x:is>
          <x:t xml:space="preserve">As of May 31, 2026</x:t>
        </x:is>
      </x:c>
      <x:c r="F12" s="135" t="inlineStr">
        <x:is>
          <x:t xml:space="preserve">Same May 31 date and filing</x:t>
        </x:is>
      </x:c>
    </x:row>
    <x:row r="13" ht="26" customHeight="1">
      <x:c r="A13" s="126" t="inlineStr">
        <x:is>
          <x:t xml:space="preserve">Reported carrying debt</x:t>
        </x:is>
      </x:c>
      <x:c r="B13" s="127" t="n"/>
      <x:c r="C13" s="127" t="n"/>
      <x:c r="D13" s="128" t="n">
        <x:f>'Oracle debt inputs'!B10</x:f>
        <x:v>129541000000</x:v>
      </x:c>
      <x:c r="E13" s="129" t="inlineStr">
        <x:is>
          <x:t xml:space="preserve">As of May 31, 2026</x:t>
        </x:is>
      </x:c>
      <x:c r="F13" s="130" t="inlineStr">
        <x:is>
          <x:t xml:space="preserve"/>
        </x:is>
      </x:c>
    </x:row>
    <x:row r="14" ht="26" customHeight="1">
      <x:c r="A14" s="126" t="inlineStr">
        <x:is>
          <x:t xml:space="preserve">Carrying reconciliation difference</x:t>
        </x:is>
      </x:c>
      <x:c r="B14" s="127" t="n"/>
      <x:c r="C14" s="127" t="n"/>
      <x:c r="D14" s="136" t="n">
        <x:f>D12-D13</x:f>
        <x:v>0</x:v>
      </x:c>
      <x:c r="E14" s="129" t="inlineStr">
        <x:is>
          <x:t xml:space="preserve">As of May 31, 2026</x:t>
        </x:is>
      </x:c>
      <x:c r="F14" s="130" t="inlineStr">
        <x:is>
          <x:t xml:space="preserve">Zero means principal less costs equals carrying debt</x:t>
        </x:is>
      </x:c>
    </x:row>
    <x:row r="15" ht="26" customHeight="1">
      <x:c r="A15" s="131" t="inlineStr">
        <x:is>
          <x:t xml:space="preserve">Principal through fiscal 2031</x:t>
        </x:is>
      </x:c>
      <x:c r="B15" s="132" t="n"/>
      <x:c r="C15" s="132" t="n"/>
      <x:c r="D15" s="133" t="n">
        <x:f>SUM(D2:D6)</x:f>
        <x:v>39855000000</x:v>
      </x:c>
      <x:c r="E15" s="134" t="inlineStr">
        <x:is>
          <x:t xml:space="preserve">As of May 31, 2026</x:t>
        </x:is>
      </x:c>
      <x:c r="F15" s="135" t="inlineStr">
        <x:is>
          <x:t xml:space="preserve"/>
        </x:is>
      </x:c>
    </x:row>
    <x:row r="16" ht="26" customHeight="1">
      <x:c r="A16" s="126" t="inlineStr">
        <x:is>
          <x:t xml:space="preserve">Share through fiscal 2031</x:t>
        </x:is>
      </x:c>
      <x:c r="B16" s="127" t="n"/>
      <x:c r="C16" s="127" t="n"/>
      <x:c r="D16" s="137" t="n">
        <x:f>D15/D8</x:f>
        <x:v>0.30632950309365514</x:v>
      </x:c>
      <x:c r="E16" s="129" t="inlineStr">
        <x:is>
          <x:t xml:space="preserve">As of May 31, 2026</x:t>
        </x:is>
      </x:c>
      <x:c r="F16" s="130" t="inlineStr">
        <x:is>
          <x:t xml:space="preserve">Fraction displayed as %</x:t>
        </x:is>
      </x:c>
    </x:row>
    <x:row r="17" ht="50" customHeight="1">
      <x:c r="A17" s="131" t="inlineStr">
        <x:is>
          <x:t xml:space="preserve">August schedule</x:t>
        </x:is>
      </x:c>
      <x:c r="B17" s="132" t="n"/>
      <x:c r="C17" s="132" t="n"/>
      <x:c r="D17" s="133" t="n"/>
      <x:c r="E17" s="134" t="inlineStr">
        <x:is>
          <x:t xml:space="preserve">Unavailable</x:t>
        </x:is>
      </x:c>
      <x:c r="F17" s="135" t="inlineStr">
        <x:is>
          <x:t xml:space="preserve">An August 31 debt maturity schedule is not disclosed in the saved 10-Q. The May 31 schedule is historical and has not been rolled forward by subtracting repayments.</x:t>
        </x:is>
      </x:c>
    </x:row>
    <x:row r="18" ht="26" customHeight="1">
      <x:c r="A18" s="138" t="inlineStr">
        <x:is>
          <x:t xml:space="preserve">Chart scope</x:t>
        </x:is>
      </x:c>
      <x:c r="B18" s="139" t="n"/>
      <x:c r="C18" s="139" t="n"/>
      <x:c r="D18" s="140" t="n"/>
      <x:c r="E18" s="141" t="inlineStr">
        <x:is>
          <x:t xml:space="preserve">Annual buckets only</x:t>
        </x:is>
      </x:c>
      <x:c r="F18" s="142" t="inlineStr">
        <x:is>
          <x:t xml:space="preserve">Thereafter is combined in row 7 and is not plotted as one year.</x:t>
        </x:is>
      </x:c>
    </x:row>
  </x:sheetData>
  <x:pageMargins left="0.7" right="0.7" top="0.75" bottom="0.75" header="0.3" footer="0.3"/>
  <x:drawing xmlns:r="http://schemas.openxmlformats.org/officeDocument/2006/relationships" r:id="Rf8135e9b13bb4b3e"/>
  <x:tableParts count="1">
    <x:tablePart xmlns:r="http://schemas.openxmlformats.org/officeDocument/2006/relationships" r:id="R20ea003edfe3420d"/>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9" hidden="0" customWidth="1"/>
    <x:col min="2" max="2" width="22" hidden="0" customWidth="1"/>
    <x:col min="3" max="3" width="20" hidden="0" customWidth="1"/>
    <x:col min="4" max="4" width="20" hidden="0" customWidth="1"/>
    <x:col min="5" max="5" width="20" hidden="0" customWidth="1"/>
    <x:col min="6" max="6" width="14" hidden="0" customWidth="1"/>
    <x:col min="7" max="7" width="20" hidden="0" customWidth="1"/>
    <x:col min="8" max="8" width="33" hidden="0" customWidth="1"/>
    <x:col min="9" max="9" width="65" hidden="0" customWidth="1"/>
    <x:col min="10" max="10" width="22" hidden="0" customWidth="1"/>
    <x:col min="11" max="11" width="12" hidden="0" customWidth="1"/>
    <x:col min="12" max="12" width="12" hidden="0" customWidth="1"/>
    <x:col min="13" max="13" width="65" hidden="0" customWidth="1"/>
    <x:col min="14" max="14" width="45" hidden="0" customWidth="1"/>
    <x:col min="15" max="15" width="75" hidden="0" customWidth="1"/>
  </x:cols>
  <x:sheetData>
    <x:row r="1" ht="32" customHeight="1">
      <x:c r="A1" s="97" t="inlineStr">
        <x:is>
          <x:t xml:space="preserve">Input</x:t>
        </x:is>
      </x:c>
      <x:c r="B1" s="98" t="inlineStr">
        <x:is>
          <x:t xml:space="preserve">USD (displayed in millions)</x:t>
        </x:is>
      </x:c>
      <x:c r="C1" s="98" t="inlineStr">
        <x:is>
          <x:t xml:space="preserve">Reporting date</x:t>
        </x:is>
      </x:c>
      <x:c r="D1" s="98" t="inlineStr">
        <x:is>
          <x:t xml:space="preserve">Due from</x:t>
        </x:is>
      </x:c>
      <x:c r="E1" s="98" t="inlineStr">
        <x:is>
          <x:t xml:space="preserve">Due through</x:t>
        </x:is>
      </x:c>
      <x:c r="F1" s="98" t="inlineStr">
        <x:is>
          <x:t xml:space="preserve">Form</x:t>
        </x:is>
      </x:c>
      <x:c r="G1" s="98" t="inlineStr">
        <x:is>
          <x:t xml:space="preserve">Filed</x:t>
        </x:is>
      </x:c>
      <x:c r="H1" s="98" t="inlineStr">
        <x:is>
          <x:t xml:space="preserve">Accession</x:t>
        </x:is>
      </x:c>
      <x:c r="I1" s="98" t="inlineStr">
        <x:is>
          <x:t xml:space="preserve">Tag</x:t>
        </x:is>
      </x:c>
      <x:c r="J1" s="98" t="inlineStr">
        <x:is>
          <x:t xml:space="preserve">Context ID</x:t>
        </x:is>
      </x:c>
      <x:c r="K1" s="98" t="inlineStr">
        <x:is>
          <x:t xml:space="preserve">Scale</x:t>
        </x:is>
      </x:c>
      <x:c r="L1" s="98" t="inlineStr">
        <x:is>
          <x:t xml:space="preserve">Decimals</x:t>
        </x:is>
      </x:c>
      <x:c r="M1" s="98" t="inlineStr">
        <x:is>
          <x:t xml:space="preserve">Source</x:t>
        </x:is>
      </x:c>
      <x:c r="N1" s="98" t="inlineStr">
        <x:is>
          <x:t xml:space="preserve">Filing location</x:t>
        </x:is>
      </x:c>
      <x:c r="O1" s="99" t="inlineStr">
        <x:is>
          <x:t xml:space="preserve">Notes</x:t>
        </x:is>
      </x:c>
    </x:row>
    <x:row r="2" ht="36" customHeight="1">
      <x:c r="A2" s="126" t="inlineStr">
        <x:is>
          <x:t xml:space="preserve">Fiscal 2027</x:t>
        </x:is>
      </x:c>
      <x:c r="B2" s="143" t="n">
        <x:v>7210000000</x:v>
      </x:c>
      <x:c r="C2" s="127" t="n">
        <x:v>46173</x:v>
      </x:c>
      <x:c r="D2" s="127" t="n">
        <x:v>46174</x:v>
      </x:c>
      <x:c r="E2" s="127" t="n">
        <x:v>46538</x:v>
      </x:c>
      <x:c r="F2" s="129" t="inlineStr">
        <x:is>
          <x:t xml:space="preserve">10-K</x:t>
        </x:is>
      </x:c>
      <x:c r="G2" s="127" t="n">
        <x:v>46195</x:v>
      </x:c>
      <x:c r="H2" s="129" t="inlineStr">
        <x:is>
          <x:t xml:space="preserve">0001193125-26-277521</x:t>
        </x:is>
      </x:c>
      <x:c r="I2" s="129" t="inlineStr">
        <x:is>
          <x:t xml:space="preserve">us-gaap:LongTermDebtMaturitiesRepaymentsOfPrincipalInNextTwelveMonths</x:t>
        </x:is>
      </x:c>
      <x:c r="J2" s="129" t="inlineStr">
        <x:is>
          <x:t xml:space="preserve">C_f62bade6-47e1-4441-9bb3-1e534300c2f2</x:t>
        </x:is>
      </x:c>
      <x:c r="K2" s="129" t="n">
        <x:v>6</x:v>
      </x:c>
      <x:c r="L2" s="129" t="inlineStr">
        <x:is>
          <x:t xml:space="preserve">-6</x:t>
        </x:is>
      </x:c>
      <x:c r="M2" s="129" t="inlineStr">
        <x:is>
          <x:t xml:space="preserve">https://www.sec.gov/Archives/edgar/data/1341439/000119312526277521/orcl-20260531.htm</x:t>
        </x:is>
      </x:c>
      <x:c r="N2" s="129" t="inlineStr">
        <x:is>
          <x:t xml:space="preserve">10-K Note 6, pp. 83–85</x:t>
        </x:is>
      </x:c>
      <x:c r="O2" s="130" t="inlineStr">
        <x:is>
          <x:t xml:space="preserve">Historical principal schedule; not rolled forward to August 31.</x:t>
        </x:is>
      </x:c>
    </x:row>
    <x:row r="3" ht="36" customHeight="1">
      <x:c r="A3" s="126" t="inlineStr">
        <x:is>
          <x:t xml:space="preserve">Fiscal 2028</x:t>
        </x:is>
      </x:c>
      <x:c r="B3" s="143" t="n">
        <x:v>10145000000</x:v>
      </x:c>
      <x:c r="C3" s="127" t="n">
        <x:v>46173</x:v>
      </x:c>
      <x:c r="D3" s="127" t="n">
        <x:v>46539</x:v>
      </x:c>
      <x:c r="E3" s="127" t="n">
        <x:v>46904</x:v>
      </x:c>
      <x:c r="F3" s="129" t="inlineStr">
        <x:is>
          <x:t xml:space="preserve">10-K</x:t>
        </x:is>
      </x:c>
      <x:c r="G3" s="127" t="n">
        <x:v>46195</x:v>
      </x:c>
      <x:c r="H3" s="129" t="inlineStr">
        <x:is>
          <x:t xml:space="preserve">0001193125-26-277521</x:t>
        </x:is>
      </x:c>
      <x:c r="I3" s="129" t="inlineStr">
        <x:is>
          <x:t xml:space="preserve">us-gaap:LongTermDebtMaturitiesRepaymentsOfPrincipalInYearTwo</x:t>
        </x:is>
      </x:c>
      <x:c r="J3" s="129" t="inlineStr">
        <x:is>
          <x:t xml:space="preserve">C_f62bade6-47e1-4441-9bb3-1e534300c2f2</x:t>
        </x:is>
      </x:c>
      <x:c r="K3" s="129" t="n">
        <x:v>6</x:v>
      </x:c>
      <x:c r="L3" s="129" t="inlineStr">
        <x:is>
          <x:t xml:space="preserve">-6</x:t>
        </x:is>
      </x:c>
      <x:c r="M3" s="129" t="inlineStr">
        <x:is>
          <x:t xml:space="preserve">https://www.sec.gov/Archives/edgar/data/1341439/000119312526277521/orcl-20260531.htm</x:t>
        </x:is>
      </x:c>
      <x:c r="N3" s="129" t="inlineStr">
        <x:is>
          <x:t xml:space="preserve">10-K Note 6, pp. 83–85</x:t>
        </x:is>
      </x:c>
      <x:c r="O3" s="130" t="inlineStr">
        <x:is>
          <x:t xml:space="preserve">Historical principal schedule; not rolled forward to August 31.</x:t>
        </x:is>
      </x:c>
    </x:row>
    <x:row r="4" ht="36" customHeight="1">
      <x:c r="A4" s="126" t="inlineStr">
        <x:is>
          <x:t xml:space="preserve">Fiscal 2029</x:t>
        </x:is>
      </x:c>
      <x:c r="B4" s="143" t="n">
        <x:v>5500000000</x:v>
      </x:c>
      <x:c r="C4" s="127" t="n">
        <x:v>46173</x:v>
      </x:c>
      <x:c r="D4" s="127" t="n">
        <x:v>46905</x:v>
      </x:c>
      <x:c r="E4" s="127" t="n">
        <x:v>47269</x:v>
      </x:c>
      <x:c r="F4" s="129" t="inlineStr">
        <x:is>
          <x:t xml:space="preserve">10-K</x:t>
        </x:is>
      </x:c>
      <x:c r="G4" s="127" t="n">
        <x:v>46195</x:v>
      </x:c>
      <x:c r="H4" s="129" t="inlineStr">
        <x:is>
          <x:t xml:space="preserve">0001193125-26-277521</x:t>
        </x:is>
      </x:c>
      <x:c r="I4" s="129" t="inlineStr">
        <x:is>
          <x:t xml:space="preserve">us-gaap:LongTermDebtMaturitiesRepaymentsOfPrincipalInYearThree</x:t>
        </x:is>
      </x:c>
      <x:c r="J4" s="129" t="inlineStr">
        <x:is>
          <x:t xml:space="preserve">C_f62bade6-47e1-4441-9bb3-1e534300c2f2</x:t>
        </x:is>
      </x:c>
      <x:c r="K4" s="129" t="n">
        <x:v>6</x:v>
      </x:c>
      <x:c r="L4" s="129" t="inlineStr">
        <x:is>
          <x:t xml:space="preserve">-6</x:t>
        </x:is>
      </x:c>
      <x:c r="M4" s="129" t="inlineStr">
        <x:is>
          <x:t xml:space="preserve">https://www.sec.gov/Archives/edgar/data/1341439/000119312526277521/orcl-20260531.htm</x:t>
        </x:is>
      </x:c>
      <x:c r="N4" s="129" t="inlineStr">
        <x:is>
          <x:t xml:space="preserve">10-K Note 6, pp. 83–85</x:t>
        </x:is>
      </x:c>
      <x:c r="O4" s="130" t="inlineStr">
        <x:is>
          <x:t xml:space="preserve">Historical principal schedule; not rolled forward to August 31.</x:t>
        </x:is>
      </x:c>
    </x:row>
    <x:row r="5" ht="36" customHeight="1">
      <x:c r="A5" s="126" t="inlineStr">
        <x:is>
          <x:t xml:space="preserve">Fiscal 2030</x:t>
        </x:is>
      </x:c>
      <x:c r="B5" s="143" t="n">
        <x:v>7250000000</x:v>
      </x:c>
      <x:c r="C5" s="127" t="n">
        <x:v>46173</x:v>
      </x:c>
      <x:c r="D5" s="127" t="n">
        <x:v>47270</x:v>
      </x:c>
      <x:c r="E5" s="127" t="n">
        <x:v>47634</x:v>
      </x:c>
      <x:c r="F5" s="129" t="inlineStr">
        <x:is>
          <x:t xml:space="preserve">10-K</x:t>
        </x:is>
      </x:c>
      <x:c r="G5" s="127" t="n">
        <x:v>46195</x:v>
      </x:c>
      <x:c r="H5" s="129" t="inlineStr">
        <x:is>
          <x:t xml:space="preserve">0001193125-26-277521</x:t>
        </x:is>
      </x:c>
      <x:c r="I5" s="129" t="inlineStr">
        <x:is>
          <x:t xml:space="preserve">us-gaap:LongTermDebtMaturitiesRepaymentsOfPrincipalInYearFour</x:t>
        </x:is>
      </x:c>
      <x:c r="J5" s="129" t="inlineStr">
        <x:is>
          <x:t xml:space="preserve">C_f62bade6-47e1-4441-9bb3-1e534300c2f2</x:t>
        </x:is>
      </x:c>
      <x:c r="K5" s="129" t="n">
        <x:v>6</x:v>
      </x:c>
      <x:c r="L5" s="129" t="inlineStr">
        <x:is>
          <x:t xml:space="preserve">-6</x:t>
        </x:is>
      </x:c>
      <x:c r="M5" s="129" t="inlineStr">
        <x:is>
          <x:t xml:space="preserve">https://www.sec.gov/Archives/edgar/data/1341439/000119312526277521/orcl-20260531.htm</x:t>
        </x:is>
      </x:c>
      <x:c r="N5" s="129" t="inlineStr">
        <x:is>
          <x:t xml:space="preserve">10-K Note 6, pp. 83–85</x:t>
        </x:is>
      </x:c>
      <x:c r="O5" s="130" t="inlineStr">
        <x:is>
          <x:t xml:space="preserve">Historical principal schedule; not rolled forward to August 31.</x:t>
        </x:is>
      </x:c>
    </x:row>
    <x:row r="6" ht="36" customHeight="1">
      <x:c r="A6" s="126" t="inlineStr">
        <x:is>
          <x:t xml:space="preserve">Fiscal 2031</x:t>
        </x:is>
      </x:c>
      <x:c r="B6" s="143" t="n">
        <x:v>9750000000</x:v>
      </x:c>
      <x:c r="C6" s="127" t="n">
        <x:v>46173</x:v>
      </x:c>
      <x:c r="D6" s="127" t="n">
        <x:v>47635</x:v>
      </x:c>
      <x:c r="E6" s="127" t="n">
        <x:v>47999</x:v>
      </x:c>
      <x:c r="F6" s="129" t="inlineStr">
        <x:is>
          <x:t xml:space="preserve">10-K</x:t>
        </x:is>
      </x:c>
      <x:c r="G6" s="127" t="n">
        <x:v>46195</x:v>
      </x:c>
      <x:c r="H6" s="129" t="inlineStr">
        <x:is>
          <x:t xml:space="preserve">0001193125-26-277521</x:t>
        </x:is>
      </x:c>
      <x:c r="I6" s="129" t="inlineStr">
        <x:is>
          <x:t xml:space="preserve">us-gaap:LongTermDebtMaturitiesRepaymentsOfPrincipalInYearFive</x:t>
        </x:is>
      </x:c>
      <x:c r="J6" s="129" t="inlineStr">
        <x:is>
          <x:t xml:space="preserve">C_f62bade6-47e1-4441-9bb3-1e534300c2f2</x:t>
        </x:is>
      </x:c>
      <x:c r="K6" s="129" t="n">
        <x:v>6</x:v>
      </x:c>
      <x:c r="L6" s="129" t="inlineStr">
        <x:is>
          <x:t xml:space="preserve">-6</x:t>
        </x:is>
      </x:c>
      <x:c r="M6" s="129" t="inlineStr">
        <x:is>
          <x:t xml:space="preserve">https://www.sec.gov/Archives/edgar/data/1341439/000119312526277521/orcl-20260531.htm</x:t>
        </x:is>
      </x:c>
      <x:c r="N6" s="129" t="inlineStr">
        <x:is>
          <x:t xml:space="preserve">10-K Note 6, pp. 83–85</x:t>
        </x:is>
      </x:c>
      <x:c r="O6" s="130" t="inlineStr">
        <x:is>
          <x:t xml:space="preserve">Historical principal schedule; not rolled forward to August 31.</x:t>
        </x:is>
      </x:c>
    </x:row>
    <x:row r="7" ht="36" customHeight="1">
      <x:c r="A7" s="126" t="inlineStr">
        <x:is>
          <x:t xml:space="preserve">Thereafter</x:t>
        </x:is>
      </x:c>
      <x:c r="B7" s="143" t="n">
        <x:v>90250000000</x:v>
      </x:c>
      <x:c r="C7" s="127" t="n">
        <x:v>46173</x:v>
      </x:c>
      <x:c r="D7" s="127" t="n">
        <x:v>48000</x:v>
      </x:c>
      <x:c r="E7" s="127" t="n"/>
      <x:c r="F7" s="129" t="inlineStr">
        <x:is>
          <x:t xml:space="preserve">10-K</x:t>
        </x:is>
      </x:c>
      <x:c r="G7" s="127" t="n">
        <x:v>46195</x:v>
      </x:c>
      <x:c r="H7" s="129" t="inlineStr">
        <x:is>
          <x:t xml:space="preserve">0001193125-26-277521</x:t>
        </x:is>
      </x:c>
      <x:c r="I7" s="129" t="inlineStr">
        <x:is>
          <x:t xml:space="preserve">us-gaap:LongTermDebtMaturitiesRepaymentsOfPrincipalAfterYearFive</x:t>
        </x:is>
      </x:c>
      <x:c r="J7" s="129" t="inlineStr">
        <x:is>
          <x:t xml:space="preserve">C_f62bade6-47e1-4441-9bb3-1e534300c2f2</x:t>
        </x:is>
      </x:c>
      <x:c r="K7" s="129" t="n">
        <x:v>6</x:v>
      </x:c>
      <x:c r="L7" s="129" t="inlineStr">
        <x:is>
          <x:t xml:space="preserve">-6</x:t>
        </x:is>
      </x:c>
      <x:c r="M7" s="129" t="inlineStr">
        <x:is>
          <x:t xml:space="preserve">https://www.sec.gov/Archives/edgar/data/1341439/000119312526277521/orcl-20260531.htm</x:t>
        </x:is>
      </x:c>
      <x:c r="N7" s="129" t="inlineStr">
        <x:is>
          <x:t xml:space="preserve">10-K Note 6, pp. 83–85</x:t>
        </x:is>
      </x:c>
      <x:c r="O7" s="130" t="inlineStr">
        <x:is>
          <x:t xml:space="preserve">Historical principal schedule; not rolled forward to August 31.</x:t>
        </x:is>
      </x:c>
    </x:row>
    <x:row r="8" ht="36" customHeight="1">
      <x:c r="A8" s="126" t="inlineStr">
        <x:is>
          <x:t xml:space="preserve">Reported principal total</x:t>
        </x:is>
      </x:c>
      <x:c r="B8" s="143" t="n">
        <x:v>130105000000</x:v>
      </x:c>
      <x:c r="C8" s="127" t="n">
        <x:v>46173</x:v>
      </x:c>
      <x:c r="D8" s="127" t="n"/>
      <x:c r="E8" s="127" t="n"/>
      <x:c r="F8" s="129" t="inlineStr">
        <x:is>
          <x:t xml:space="preserve">10-K</x:t>
        </x:is>
      </x:c>
      <x:c r="G8" s="127" t="n">
        <x:v>46195</x:v>
      </x:c>
      <x:c r="H8" s="129" t="inlineStr">
        <x:is>
          <x:t xml:space="preserve">0001193125-26-277521</x:t>
        </x:is>
      </x:c>
      <x:c r="I8" s="129" t="inlineStr">
        <x:is>
          <x:t xml:space="preserve">us-gaap:DebtInstrumentFaceAmount</x:t>
        </x:is>
      </x:c>
      <x:c r="J8" s="129" t="inlineStr">
        <x:is>
          <x:t xml:space="preserve">C_f62bade6-47e1-4441-9bb3-1e534300c2f2</x:t>
        </x:is>
      </x:c>
      <x:c r="K8" s="129" t="n">
        <x:v>6</x:v>
      </x:c>
      <x:c r="L8" s="129" t="inlineStr">
        <x:is>
          <x:t xml:space="preserve">-6</x:t>
        </x:is>
      </x:c>
      <x:c r="M8" s="129" t="inlineStr">
        <x:is>
          <x:t xml:space="preserve">https://www.sec.gov/Archives/edgar/data/1341439/000119312526277521/orcl-20260531.htm</x:t>
        </x:is>
      </x:c>
      <x:c r="N8" s="129" t="inlineStr">
        <x:is>
          <x:t xml:space="preserve">10-K Note 6, pp. 83–85</x:t>
        </x:is>
      </x:c>
      <x:c r="O8" s="130" t="inlineStr">
        <x:is>
          <x:t xml:space="preserve">Historical principal schedule; not rolled forward to August 31.</x:t>
        </x:is>
      </x:c>
    </x:row>
    <x:row r="9" ht="36" customHeight="1">
      <x:c r="A9" s="126" t="inlineStr">
        <x:is>
          <x:t xml:space="preserve">Discounts and issuance costs</x:t>
        </x:is>
      </x:c>
      <x:c r="B9" s="143" t="n">
        <x:v>564000000</x:v>
      </x:c>
      <x:c r="C9" s="127" t="n">
        <x:v>46173</x:v>
      </x:c>
      <x:c r="D9" s="127" t="n"/>
      <x:c r="E9" s="127" t="n"/>
      <x:c r="F9" s="129" t="inlineStr">
        <x:is>
          <x:t xml:space="preserve">10-K</x:t>
        </x:is>
      </x:c>
      <x:c r="G9" s="127" t="n">
        <x:v>46195</x:v>
      </x:c>
      <x:c r="H9" s="129" t="inlineStr">
        <x:is>
          <x:t xml:space="preserve">0001193125-26-277521</x:t>
        </x:is>
      </x:c>
      <x:c r="I9" s="129" t="inlineStr">
        <x:is>
          <x:t xml:space="preserve">us-gaap:DebtInstrumentUnamortizedDiscountPremiumAndDebtIssuanceCostsNet</x:t>
        </x:is>
      </x:c>
      <x:c r="J9" s="129" t="inlineStr">
        <x:is>
          <x:t xml:space="preserve">C_f62bade6-47e1-4441-9bb3-1e534300c2f2</x:t>
        </x:is>
      </x:c>
      <x:c r="K9" s="129" t="n">
        <x:v>6</x:v>
      </x:c>
      <x:c r="L9" s="129" t="inlineStr">
        <x:is>
          <x:t xml:space="preserve">-6</x:t>
        </x:is>
      </x:c>
      <x:c r="M9" s="129" t="inlineStr">
        <x:is>
          <x:t xml:space="preserve">https://www.sec.gov/Archives/edgar/data/1341439/000119312526277521/orcl-20260531.htm</x:t>
        </x:is>
      </x:c>
      <x:c r="N9" s="129" t="inlineStr">
        <x:is>
          <x:t xml:space="preserve">10-K Note 6, pp. 83–85</x:t>
        </x:is>
      </x:c>
      <x:c r="O9" s="130" t="inlineStr">
        <x:is>
          <x:t xml:space="preserve">Historical principal schedule; not rolled forward to August 31.</x:t>
        </x:is>
      </x:c>
    </x:row>
    <x:row r="10" ht="36" customHeight="1">
      <x:c r="A10" s="126" t="inlineStr">
        <x:is>
          <x:t xml:space="preserve">Reported carrying debt</x:t>
        </x:is>
      </x:c>
      <x:c r="B10" s="143" t="n">
        <x:v>129541000000</x:v>
      </x:c>
      <x:c r="C10" s="127" t="n">
        <x:v>46173</x:v>
      </x:c>
      <x:c r="D10" s="127" t="n"/>
      <x:c r="E10" s="127" t="n"/>
      <x:c r="F10" s="129" t="inlineStr">
        <x:is>
          <x:t xml:space="preserve">10-K</x:t>
        </x:is>
      </x:c>
      <x:c r="G10" s="127" t="n">
        <x:v>46195</x:v>
      </x:c>
      <x:c r="H10" s="129" t="inlineStr">
        <x:is>
          <x:t xml:space="preserve">0001193125-26-277521</x:t>
        </x:is>
      </x:c>
      <x:c r="I10" s="129" t="inlineStr">
        <x:is>
          <x:t xml:space="preserve">us-gaap:DebtLongtermAndShorttermCombinedAmount</x:t>
        </x:is>
      </x:c>
      <x:c r="J10" s="129" t="inlineStr">
        <x:is>
          <x:t xml:space="preserve">C_f62bade6-47e1-4441-9bb3-1e534300c2f2</x:t>
        </x:is>
      </x:c>
      <x:c r="K10" s="129" t="n">
        <x:v>6</x:v>
      </x:c>
      <x:c r="L10" s="129" t="inlineStr">
        <x:is>
          <x:t xml:space="preserve">-6</x:t>
        </x:is>
      </x:c>
      <x:c r="M10" s="129" t="inlineStr">
        <x:is>
          <x:t xml:space="preserve">https://www.sec.gov/Archives/edgar/data/1341439/000119312526277521/orcl-20260531.htm</x:t>
        </x:is>
      </x:c>
      <x:c r="N10" s="129" t="inlineStr">
        <x:is>
          <x:t xml:space="preserve">10-K Note 6, pp. 83–85</x:t>
        </x:is>
      </x:c>
      <x:c r="O10" s="130" t="inlineStr">
        <x:is>
          <x:t xml:space="preserve">Historical principal schedule; not rolled forward to August 31.</x:t>
        </x:is>
      </x:c>
    </x:row>
    <x:row r="11" ht="36" customHeight="1">
      <x:c r="A11" s="126" t="inlineStr">
        <x:is>
          <x:t xml:space="preserve">Equity proceeds, net of issuance costs</x:t>
        </x:is>
      </x:c>
      <x:c r="B11" s="143" t="n">
        <x:v>19909000000</x:v>
      </x:c>
      <x:c r="C11" s="127" t="n">
        <x:v>46265</x:v>
      </x:c>
      <x:c r="D11" s="127" t="n">
        <x:v>46174</x:v>
      </x:c>
      <x:c r="E11" s="127" t="n">
        <x:v>46265</x:v>
      </x:c>
      <x:c r="F11" s="129" t="inlineStr">
        <x:is>
          <x:t xml:space="preserve">10-Q</x:t>
        </x:is>
      </x:c>
      <x:c r="G11" s="127" t="n">
        <x:v>46276</x:v>
      </x:c>
      <x:c r="H11" s="129" t="inlineStr">
        <x:is>
          <x:t xml:space="preserve">0001193125-26-389274</x:t>
        </x:is>
      </x:c>
      <x:c r="I11" s="129" t="inlineStr">
        <x:is>
          <x:t xml:space="preserve">us-gaap:ProceedsFromIssuanceOfCommonStock</x:t>
        </x:is>
      </x:c>
      <x:c r="J11" s="129" t="inlineStr">
        <x:is>
          <x:t xml:space="preserve">C_f2f9ad85-08df-4e59-8948-bfd9405570de</x:t>
        </x:is>
      </x:c>
      <x:c r="K11" s="129" t="n">
        <x:v>6</x:v>
      </x:c>
      <x:c r="L11" s="129" t="inlineStr">
        <x:is>
          <x:t xml:space="preserve">-6</x:t>
        </x:is>
      </x:c>
      <x:c r="M11" s="129" t="inlineStr">
        <x:is>
          <x:t xml:space="preserve">https://www.sec.gov/Archives/edgar/data/1341439/000119312526389274/orcl-20260831.htm</x:t>
        </x:is>
      </x:c>
      <x:c r="N11" s="129" t="inlineStr">
        <x:is>
          <x:t xml:space="preserve">10-Q cash flows, p. 5</x:t>
        </x:is>
      </x:c>
      <x:c r="O11" s="130" t="inlineStr">
        <x:is>
          <x:t xml:space="preserve"/>
        </x:is>
      </x:c>
    </x:row>
    <x:row r="12" ht="36" customHeight="1">
      <x:c r="A12" s="138" t="inlineStr">
        <x:is>
          <x:t xml:space="preserve">Debt repayments</x:t>
        </x:is>
      </x:c>
      <x:c r="B12" s="144" t="n">
        <x:v>4202000000</x:v>
      </x:c>
      <x:c r="C12" s="139" t="n">
        <x:v>46265</x:v>
      </x:c>
      <x:c r="D12" s="139" t="n">
        <x:v>46174</x:v>
      </x:c>
      <x:c r="E12" s="139" t="n">
        <x:v>46265</x:v>
      </x:c>
      <x:c r="F12" s="141" t="inlineStr">
        <x:is>
          <x:t xml:space="preserve">10-Q</x:t>
        </x:is>
      </x:c>
      <x:c r="G12" s="139" t="n">
        <x:v>46276</x:v>
      </x:c>
      <x:c r="H12" s="141" t="inlineStr">
        <x:is>
          <x:t xml:space="preserve">0001193125-26-389274</x:t>
        </x:is>
      </x:c>
      <x:c r="I12" s="141" t="inlineStr">
        <x:is>
          <x:t xml:space="preserve">us-gaap:RepaymentsOfDebt</x:t>
        </x:is>
      </x:c>
      <x:c r="J12" s="141" t="inlineStr">
        <x:is>
          <x:t xml:space="preserve">C_f2f9ad85-08df-4e59-8948-bfd9405570de</x:t>
        </x:is>
      </x:c>
      <x:c r="K12" s="141" t="n">
        <x:v>6</x:v>
      </x:c>
      <x:c r="L12" s="141" t="inlineStr">
        <x:is>
          <x:t xml:space="preserve">-6</x:t>
        </x:is>
      </x:c>
      <x:c r="M12" s="141" t="inlineStr">
        <x:is>
          <x:t xml:space="preserve">https://www.sec.gov/Archives/edgar/data/1341439/000119312526389274/orcl-20260831.htm</x:t>
        </x:is>
      </x:c>
      <x:c r="N12" s="141" t="inlineStr">
        <x:is>
          <x:t xml:space="preserve">10-Q cash flows, p. 5</x:t>
        </x:is>
      </x:c>
      <x:c r="O12" s="142" t="inlineStr">
        <x:is>
          <x:t xml:space="preserve"/>
        </x:is>
      </x:c>
    </x:row>
  </x:sheetData>
  <x:pageMargins left="0.7" right="0.7" top="0.75" bottom="0.75" header="0.3" footer="0.3"/>
  <x:tableParts count="1">
    <x:tablePart xmlns:r="http://schemas.openxmlformats.org/officeDocument/2006/relationships" r:id="Rff8e38be7c824774"/>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hidden="0" customWidth="1"/>
    <x:col min="2" max="2" width="20" hidden="0" customWidth="1"/>
    <x:col min="3" max="3" width="20" hidden="0" customWidth="1"/>
    <x:col min="4" max="4" width="55" hidden="0" customWidth="1"/>
    <x:col min="5" max="5" width="22" hidden="0" customWidth="1"/>
    <x:col min="6" max="6" width="46" hidden="0" customWidth="1"/>
    <x:col min="7" max="7" width="14" hidden="0" customWidth="1"/>
    <x:col min="8" max="8" width="20" hidden="0" customWidth="1"/>
    <x:col min="9" max="9" width="33" hidden="0" customWidth="1"/>
    <x:col min="10" max="10" width="65" hidden="0" customWidth="1"/>
    <x:col min="11" max="11" width="25" hidden="0" customWidth="1"/>
    <x:col min="12" max="12" width="65" hidden="0" customWidth="1"/>
    <x:col min="13" max="13" width="65" hidden="0" customWidth="1"/>
    <x:col min="14" max="14" width="95" hidden="0" customWidth="1"/>
  </x:cols>
  <x:sheetData>
    <x:row r="1" ht="32" customHeight="1">
      <x:c r="A1" s="97" t="inlineStr">
        <x:is>
          <x:t xml:space="preserve">Event date</x:t>
        </x:is>
      </x:c>
      <x:c r="B1" s="98" t="inlineStr">
        <x:is>
          <x:t xml:space="preserve">Period start</x:t>
        </x:is>
      </x:c>
      <x:c r="C1" s="98" t="inlineStr">
        <x:is>
          <x:t xml:space="preserve">Period end</x:t>
        </x:is>
      </x:c>
      <x:c r="D1" s="98" t="inlineStr">
        <x:is>
          <x:t xml:space="preserve">Finding</x:t>
        </x:is>
      </x:c>
      <x:c r="E1" s="98" t="inlineStr">
        <x:is>
          <x:t xml:space="preserve">USD (displayed in millions)</x:t>
        </x:is>
      </x:c>
      <x:c r="F1" s="98" t="inlineStr">
        <x:is>
          <x:t xml:space="preserve">Amount basis</x:t>
        </x:is>
      </x:c>
      <x:c r="G1" s="98" t="inlineStr">
        <x:is>
          <x:t xml:space="preserve">Form</x:t>
        </x:is>
      </x:c>
      <x:c r="H1" s="98" t="inlineStr">
        <x:is>
          <x:t xml:space="preserve">Filed</x:t>
        </x:is>
      </x:c>
      <x:c r="I1" s="98" t="inlineStr">
        <x:is>
          <x:t xml:space="preserve">Accession</x:t>
        </x:is>
      </x:c>
      <x:c r="J1" s="98" t="inlineStr">
        <x:is>
          <x:t xml:space="preserve">Tag</x:t>
        </x:is>
      </x:c>
      <x:c r="K1" s="98" t="inlineStr">
        <x:is>
          <x:t xml:space="preserve">Context ID</x:t>
        </x:is>
      </x:c>
      <x:c r="L1" s="98" t="inlineStr">
        <x:is>
          <x:t xml:space="preserve">Source</x:t>
        </x:is>
      </x:c>
      <x:c r="M1" s="98" t="inlineStr">
        <x:is>
          <x:t xml:space="preserve">Exhibit</x:t>
        </x:is>
      </x:c>
      <x:c r="N1" s="99" t="inlineStr">
        <x:is>
          <x:t xml:space="preserve">Notes</x:t>
        </x:is>
      </x:c>
    </x:row>
    <x:row r="2" ht="36" customHeight="1">
      <x:c r="A2" s="145" t="n"/>
      <x:c r="B2" s="127" t="n">
        <x:v>46174</x:v>
      </x:c>
      <x:c r="C2" s="127" t="n">
        <x:v>46265</x:v>
      </x:c>
      <x:c r="D2" s="129" t="inlineStr">
        <x:is>
          <x:t xml:space="preserve">Equity proceeds, net of issuance costs</x:t>
        </x:is>
      </x:c>
      <x:c r="E2" s="128" t="n">
        <x:f>'Oracle debt inputs'!B11</x:f>
        <x:v>19909000000</x:v>
      </x:c>
      <x:c r="F2" s="129" t="inlineStr">
        <x:is>
          <x:t xml:space="preserve">Quarter cash flow, already in August balance sheet</x:t>
        </x:is>
      </x:c>
      <x:c r="G2" s="129" t="inlineStr">
        <x:is>
          <x:t xml:space="preserve">10-Q</x:t>
        </x:is>
      </x:c>
      <x:c r="H2" s="127" t="n">
        <x:v>46276</x:v>
      </x:c>
      <x:c r="I2" s="129" t="inlineStr">
        <x:is>
          <x:t xml:space="preserve">0001193125-26-389274</x:t>
        </x:is>
      </x:c>
      <x:c r="J2" s="129" t="inlineStr">
        <x:is>
          <x:t xml:space="preserve">us-gaap:ProceedsFromIssuanceOfCommonStock</x:t>
        </x:is>
      </x:c>
      <x:c r="K2" s="129" t="inlineStr">
        <x:is>
          <x:t xml:space="preserve">C_f2f9ad85-08df-4e59-8948-bfd9405570de</x:t>
        </x:is>
      </x:c>
      <x:c r="L2" s="129" t="inlineStr">
        <x:is>
          <x:t xml:space="preserve">https://www.sec.gov/Archives/edgar/data/1341439/000119312526389274/orcl-20260831.htm</x:t>
        </x:is>
      </x:c>
      <x:c r="M2" s="129" t="inlineStr">
        <x:is>
          <x:t xml:space="preserve"/>
        </x:is>
      </x:c>
      <x:c r="N2" s="130" t="inlineStr">
        <x:is>
          <x:t xml:space="preserve">Equity, not debt; net of issuance costs.</x:t>
        </x:is>
      </x:c>
    </x:row>
    <x:row r="3" ht="36" customHeight="1">
      <x:c r="A3" s="145" t="n"/>
      <x:c r="B3" s="127" t="n">
        <x:v>46174</x:v>
      </x:c>
      <x:c r="C3" s="127" t="n">
        <x:v>46265</x:v>
      </x:c>
      <x:c r="D3" s="129" t="inlineStr">
        <x:is>
          <x:t xml:space="preserve">Debt repayments</x:t>
        </x:is>
      </x:c>
      <x:c r="E3" s="128" t="n">
        <x:f>'Oracle debt inputs'!B12</x:f>
        <x:v>4202000000</x:v>
      </x:c>
      <x:c r="F3" s="129" t="inlineStr">
        <x:is>
          <x:t xml:space="preserve">Quarter cash flow, already in August balance sheet</x:t>
        </x:is>
      </x:c>
      <x:c r="G3" s="129" t="inlineStr">
        <x:is>
          <x:t xml:space="preserve">10-Q</x:t>
        </x:is>
      </x:c>
      <x:c r="H3" s="127" t="n">
        <x:v>46276</x:v>
      </x:c>
      <x:c r="I3" s="129" t="inlineStr">
        <x:is>
          <x:t xml:space="preserve">0001193125-26-389274</x:t>
        </x:is>
      </x:c>
      <x:c r="J3" s="129" t="inlineStr">
        <x:is>
          <x:t xml:space="preserve">us-gaap:RepaymentsOfDebt</x:t>
        </x:is>
      </x:c>
      <x:c r="K3" s="129" t="inlineStr">
        <x:is>
          <x:t xml:space="preserve">C_f2f9ad85-08df-4e59-8948-bfd9405570de</x:t>
        </x:is>
      </x:c>
      <x:c r="L3" s="129" t="inlineStr">
        <x:is>
          <x:t xml:space="preserve">https://www.sec.gov/Archives/edgar/data/1341439/000119312526389274/orcl-20260831.htm</x:t>
        </x:is>
      </x:c>
      <x:c r="M3" s="129" t="inlineStr">
        <x:is>
          <x:t xml:space="preserve"/>
        </x:is>
      </x:c>
      <x:c r="N3" s="130" t="inlineStr">
        <x:is>
          <x:t xml:space="preserve">Debt repayments are not assigned to May maturity buckets; commercial-paper presentation differs in MD&amp;A.</x:t>
        </x:is>
      </x:c>
    </x:row>
    <x:row r="4" ht="64" customHeight="1">
      <x:c r="A4" s="145" t="n">
        <x:v>46275</x:v>
      </x:c>
      <x:c r="B4" s="127" t="n"/>
      <x:c r="C4" s="127" t="n"/>
      <x:c r="D4" s="129" t="inlineStr">
        <x:is>
          <x:t xml:space="preserve">Quarterly results and dividends; no new borrowing established</x:t>
        </x:is>
      </x:c>
      <x:c r="E4" s="146" t="n"/>
      <x:c r="F4" s="129" t="inlineStr">
        <x:is>
          <x:t xml:space="preserve">Document review; no additional amount summed</x:t>
        </x:is>
      </x:c>
      <x:c r="G4" s="129" t="inlineStr">
        <x:is>
          <x:t xml:space="preserve">8-K</x:t>
        </x:is>
      </x:c>
      <x:c r="H4" s="127" t="n">
        <x:v>46275</x:v>
      </x:c>
      <x:c r="I4" s="129" t="inlineStr">
        <x:is>
          <x:t xml:space="preserve">0001193125-26-387905</x:t>
        </x:is>
      </x:c>
      <x:c r="J4" s="129" t="n"/>
      <x:c r="K4" s="129" t="n"/>
      <x:c r="L4" s="129" t="inlineStr">
        <x:is>
          <x:t xml:space="preserve">https://www.sec.gov/Archives/edgar/data/1341439/000119312526387905/orcl-20260910.htm</x:t>
        </x:is>
      </x:c>
      <x:c r="M4" s="129" t="inlineStr">
        <x:is>
          <x:t xml:space="preserve">https://www.sec.gov/Archives/edgar/data/1341439/000119312526387905/orcl-ex99_1.htm</x:t>
        </x:is>
      </x:c>
      <x:c r="N4" s="130" t="inlineStr">
        <x:is>
          <x:t xml:space="preserve">The earnings exhibit reports a $20 billion common-stock sale before commissions completed during Q1 FY2027, which ended August 31. The 10-Q reports $19.909 billion net proceeds. This is equity already reflected in the balance sheet. The 8-K also declares preferred and common dividends; it does not establish later borrowing.</x:t>
        </x:is>
      </x:c>
    </x:row>
    <x:row r="5" ht="36" customHeight="1">
      <x:c r="A5" s="145" t="n">
        <x:v>46277</x:v>
      </x:c>
      <x:c r="B5" s="127" t="n"/>
      <x:c r="C5" s="127" t="n"/>
      <x:c r="D5" s="129" t="inlineStr">
        <x:is>
          <x:t xml:space="preserve">Insider trading-plan cancellation; no financing event identified</x:t>
        </x:is>
      </x:c>
      <x:c r="E5" s="146" t="n"/>
      <x:c r="F5" s="129" t="inlineStr">
        <x:is>
          <x:t xml:space="preserve">Document review; no additional amount summed</x:t>
        </x:is>
      </x:c>
      <x:c r="G5" s="129" t="inlineStr">
        <x:is>
          <x:t xml:space="preserve">8-K</x:t>
        </x:is>
      </x:c>
      <x:c r="H5" s="127" t="n">
        <x:v>46279</x:v>
      </x:c>
      <x:c r="I5" s="129" t="inlineStr">
        <x:is>
          <x:t xml:space="preserve">0001193125-26-389753</x:t>
        </x:is>
      </x:c>
      <x:c r="J5" s="129" t="n"/>
      <x:c r="K5" s="129" t="n"/>
      <x:c r="L5" s="129" t="inlineStr">
        <x:is>
          <x:t xml:space="preserve">https://www.sec.gov/Archives/edgar/data/1341439/000119312526389753/d20034d8k.htm</x:t>
        </x:is>
      </x:c>
      <x:c r="M5" s="129" t="inlineStr">
        <x:is>
          <x:t xml:space="preserve">https://www.sec.gov/Archives/edgar/data/1341439/000119312526389753/d20034dex991.htm</x:t>
        </x:is>
      </x:c>
      <x:c r="N5" s="130" t="inlineStr">
        <x:is>
          <x:t xml:space="preserve">The Executive Chair cancelled his Rule 10b5-1 sale plan. The filing and exhibit say no stock was sold under it. This is not a corporate debt issuance or repayment.</x:t>
        </x:is>
      </x:c>
    </x:row>
    <x:row r="6" ht="50" customHeight="1">
      <x:c r="A6" s="145" t="n"/>
      <x:c r="B6" s="127" t="n"/>
      <x:c r="C6" s="127" t="n">
        <x:v>46173</x:v>
      </x:c>
      <x:c r="D6" s="129" t="inlineStr">
        <x:is>
          <x:t xml:space="preserve">Revolving credit facility</x:t>
        </x:is>
      </x:c>
      <x:c r="E6" s="143" t="n">
        <x:v>10000000000</x:v>
      </x:c>
      <x:c r="F6" s="129" t="inlineStr">
        <x:is>
          <x:t xml:space="preserve">Historical facility capacity, not cash or debt</x:t>
        </x:is>
      </x:c>
      <x:c r="G6" s="129" t="inlineStr">
        <x:is>
          <x:t xml:space="preserve">10-K</x:t>
        </x:is>
      </x:c>
      <x:c r="H6" s="127" t="n">
        <x:v>46195</x:v>
      </x:c>
      <x:c r="I6" s="129" t="inlineStr">
        <x:is>
          <x:t xml:space="preserve">0001193125-26-277521</x:t>
        </x:is>
      </x:c>
      <x:c r="J6" s="129" t="n"/>
      <x:c r="K6" s="129" t="n"/>
      <x:c r="L6" s="129" t="inlineStr">
        <x:is>
          <x:t xml:space="preserve">https://www.sec.gov/Archives/edgar/data/1341439/000119312526277521/orcl-20260531.htm</x:t>
        </x:is>
      </x:c>
      <x:c r="M6" s="129" t="n"/>
      <x:c r="N6" s="130" t="inlineStr">
        <x:is>
          <x:t xml:space="preserve">Five-year unsecured facility entered March 6, 2026, with no borrowing outstanding at May 31. August 31 availability is not established by the saved 10-Q. Capacity is not cash or additional debt. The facility and commercial-paper program are not added together as available liquidity. Matures 2031-03-06</x:t>
        </x:is>
      </x:c>
    </x:row>
    <x:row r="7" ht="64" customHeight="1">
      <x:c r="A7" s="147" t="n"/>
      <x:c r="B7" s="139" t="n"/>
      <x:c r="C7" s="139" t="n">
        <x:v>46173</x:v>
      </x:c>
      <x:c r="D7" s="141" t="inlineStr">
        <x:is>
          <x:t xml:space="preserve">Revolver interest covenant</x:t>
        </x:is>
      </x:c>
      <x:c r="E7" s="140" t="n"/>
      <x:c r="F7" s="141" t="inlineStr">
        <x:is>
          <x:t xml:space="preserve">Contract definition</x:t>
        </x:is>
      </x:c>
      <x:c r="G7" s="141" t="inlineStr">
        <x:is>
          <x:t xml:space="preserve">10-K</x:t>
        </x:is>
      </x:c>
      <x:c r="H7" s="139" t="n">
        <x:v>46195</x:v>
      </x:c>
      <x:c r="I7" s="141" t="inlineStr">
        <x:is>
          <x:t xml:space="preserve">0001193125-26-277521</x:t>
        </x:is>
      </x:c>
      <x:c r="J7" s="141" t="n"/>
      <x:c r="K7" s="141" t="n"/>
      <x:c r="L7" s="141" t="inlineStr">
        <x:is>
          <x:t xml:space="preserve">https://www.sec.gov/Archives/edgar/data/1341439/000119312526277521/orcl-20260531.htm</x:t>
        </x:is>
      </x:c>
      <x:c r="M7" s="141" t="n"/>
      <x:c r="N7" s="142" t="inlineStr">
        <x:is>
          <x:t xml:space="preserve">The agreement requires Consolidated EBITDA / Consolidated Net Interest Expense of at least 3.0x, as those terms are defined in the agreement. The 10-K reports compliance at May 31. Current compliance and covenant headroom have not been calculated. This is not the planned operating-income / reported-interest ratio. 10-K Note 6, p. 85</x:t>
        </x:is>
      </x:c>
    </x:row>
  </x:sheetData>
  <x:pageMargins left="0.7" right="0.7" top="0.75" bottom="0.75" header="0.3" footer="0.3"/>
  <x:tableParts count="1">
    <x:tablePart xmlns:r="http://schemas.openxmlformats.org/officeDocument/2006/relationships" r:id="R13b65a70f5e74ab7"/>
  </x:tableParts>
</x:worksheet>
</file>